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VC\AR_Architecture\AR_Architecture_newFinal\ZZZ_InputOutput\Account\"/>
    </mc:Choice>
  </mc:AlternateContent>
  <xr:revisionPtr revIDLastSave="0" documentId="8_{983F5E7F-189F-4EDD-86A3-CA3D0507DE7B}" xr6:coauthVersionLast="47" xr6:coauthVersionMax="47" xr10:uidLastSave="{00000000-0000-0000-0000-000000000000}"/>
  <bookViews>
    <workbookView xWindow="28680" yWindow="-120" windowWidth="29040" windowHeight="15720" tabRatio="850" xr2:uid="{BA4C6B5A-8B08-400A-9D91-878759D6C99D}"/>
  </bookViews>
  <sheets>
    <sheet name="How to use" sheetId="10" r:id="rId1"/>
    <sheet name="FixTable" sheetId="3" r:id="rId2"/>
    <sheet name="AgentSector" sheetId="1" r:id="rId3"/>
    <sheet name="FirstARtable" sheetId="2" r:id="rId4"/>
    <sheet name="IDARtable" sheetId="4" r:id="rId5"/>
    <sheet name="Journaltable" sheetId="5" r:id="rId6"/>
    <sheet name="SentenceID_OV" sheetId="6" r:id="rId7"/>
    <sheet name="SubjectTable" sheetId="7" r:id="rId8"/>
    <sheet name="SubjectTType" sheetId="8" r:id="rId9"/>
    <sheet name="SubjectTAg" sheetId="9" r:id="rId10"/>
    <sheet name="CSV_Create" sheetId="12" r:id="rId11"/>
    <sheet name="参考シート" sheetId="11"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34" i="2" l="1"/>
  <c r="C34" i="2"/>
  <c r="C35" i="2"/>
  <c r="O35" i="2"/>
  <c r="C36" i="2"/>
  <c r="O36" i="2"/>
  <c r="O37" i="2"/>
  <c r="C37" i="2"/>
  <c r="O33" i="2"/>
  <c r="C33" i="2"/>
  <c r="O32" i="2"/>
  <c r="C32" i="2"/>
  <c r="O31" i="2"/>
  <c r="C31" i="2"/>
  <c r="O30" i="2"/>
  <c r="C30" i="2"/>
  <c r="O29" i="2"/>
  <c r="C29" i="2"/>
  <c r="O28" i="2"/>
  <c r="C28" i="2"/>
  <c r="O27" i="2"/>
  <c r="C27" i="2"/>
  <c r="O26" i="2"/>
  <c r="C26" i="2"/>
  <c r="O25" i="2"/>
  <c r="C25" i="2"/>
  <c r="O24" i="2"/>
  <c r="C24" i="2"/>
  <c r="O23" i="2"/>
  <c r="C23" i="2"/>
  <c r="O22" i="2"/>
  <c r="C22" i="2"/>
  <c r="O21" i="2"/>
  <c r="C21" i="2"/>
  <c r="O20" i="2"/>
  <c r="C20" i="2"/>
  <c r="O19" i="2"/>
  <c r="C19" i="2"/>
  <c r="O39" i="2"/>
  <c r="C39" i="2"/>
  <c r="O38" i="2"/>
  <c r="C38" i="2"/>
  <c r="O18" i="2"/>
  <c r="C18" i="2"/>
  <c r="O17" i="2"/>
  <c r="C17" i="2"/>
  <c r="O16" i="2"/>
  <c r="C16" i="2"/>
  <c r="O15" i="2"/>
  <c r="C15" i="2"/>
  <c r="O14" i="2"/>
  <c r="C14" i="2"/>
  <c r="O13" i="2"/>
  <c r="C13" i="2"/>
  <c r="O12" i="2"/>
  <c r="C12" i="2"/>
  <c r="O11" i="2"/>
  <c r="C11" i="2"/>
  <c r="O155" i="2"/>
  <c r="C155" i="2"/>
  <c r="O154" i="2"/>
  <c r="C154" i="2"/>
  <c r="O153" i="2"/>
  <c r="C153" i="2"/>
  <c r="O152" i="2"/>
  <c r="C152" i="2"/>
  <c r="O151" i="2"/>
  <c r="C151" i="2"/>
  <c r="O150" i="2"/>
  <c r="C150" i="2"/>
  <c r="O149" i="2"/>
  <c r="C149" i="2"/>
  <c r="O148" i="2"/>
  <c r="C148" i="2"/>
  <c r="O147" i="2"/>
  <c r="C147" i="2"/>
  <c r="O146" i="2"/>
  <c r="C146" i="2"/>
  <c r="O145" i="2"/>
  <c r="C145" i="2"/>
  <c r="O144" i="2"/>
  <c r="C144" i="2"/>
  <c r="O143" i="2"/>
  <c r="C143" i="2"/>
  <c r="O142" i="2"/>
  <c r="C142" i="2"/>
  <c r="O141" i="2"/>
  <c r="C141" i="2"/>
  <c r="O140" i="2"/>
  <c r="C140" i="2"/>
  <c r="O139" i="2"/>
  <c r="C139" i="2"/>
  <c r="O138" i="2"/>
  <c r="C138" i="2"/>
  <c r="O137" i="2"/>
  <c r="C137" i="2"/>
  <c r="O136" i="2"/>
  <c r="C136" i="2"/>
  <c r="O135" i="2"/>
  <c r="C135" i="2"/>
  <c r="O134" i="2"/>
  <c r="C134" i="2"/>
  <c r="O133" i="2"/>
  <c r="C133" i="2"/>
  <c r="O132" i="2"/>
  <c r="C132" i="2"/>
  <c r="O131" i="2"/>
  <c r="C131" i="2"/>
  <c r="O130" i="2"/>
  <c r="C130" i="2"/>
  <c r="O129" i="2"/>
  <c r="C129" i="2"/>
  <c r="O128" i="2"/>
  <c r="C128" i="2"/>
  <c r="O127" i="2"/>
  <c r="C127" i="2"/>
  <c r="O126" i="2"/>
  <c r="C126" i="2"/>
  <c r="O125" i="2"/>
  <c r="C125" i="2"/>
  <c r="O124" i="2"/>
  <c r="C124" i="2"/>
  <c r="O123" i="2"/>
  <c r="C123" i="2"/>
  <c r="O122" i="2"/>
  <c r="C122" i="2"/>
  <c r="O121" i="2"/>
  <c r="C121" i="2"/>
  <c r="O120" i="2"/>
  <c r="C120" i="2"/>
  <c r="O119" i="2"/>
  <c r="C119" i="2"/>
  <c r="O118" i="2"/>
  <c r="C118" i="2"/>
  <c r="O117" i="2"/>
  <c r="C117" i="2"/>
  <c r="O116" i="2"/>
  <c r="C116" i="2"/>
  <c r="O115" i="2"/>
  <c r="C115" i="2"/>
  <c r="O114" i="2"/>
  <c r="C114" i="2"/>
  <c r="O113" i="2"/>
  <c r="C113" i="2"/>
  <c r="O112" i="2"/>
  <c r="C112" i="2"/>
  <c r="O111" i="2"/>
  <c r="C111" i="2"/>
  <c r="O110" i="2"/>
  <c r="C110" i="2"/>
  <c r="O109" i="2"/>
  <c r="C109" i="2"/>
  <c r="O108" i="2"/>
  <c r="C108" i="2"/>
  <c r="O107" i="2"/>
  <c r="C107" i="2"/>
  <c r="O106" i="2"/>
  <c r="C106" i="2"/>
  <c r="O105" i="2"/>
  <c r="C105" i="2"/>
  <c r="O104" i="2"/>
  <c r="C104" i="2"/>
  <c r="O103" i="2"/>
  <c r="C103" i="2"/>
  <c r="O102" i="2"/>
  <c r="C102" i="2"/>
  <c r="O101" i="2"/>
  <c r="C101" i="2"/>
  <c r="O100" i="2"/>
  <c r="C100" i="2"/>
  <c r="O99" i="2"/>
  <c r="C99" i="2"/>
  <c r="O98" i="2"/>
  <c r="C98" i="2"/>
  <c r="O97" i="2"/>
  <c r="C97" i="2"/>
  <c r="O96" i="2"/>
  <c r="C96" i="2"/>
  <c r="O95" i="2"/>
  <c r="C95" i="2"/>
  <c r="O94" i="2"/>
  <c r="C94" i="2"/>
  <c r="O93" i="2"/>
  <c r="C93" i="2"/>
  <c r="O92" i="2"/>
  <c r="C92" i="2"/>
  <c r="O91" i="2"/>
  <c r="C91" i="2"/>
  <c r="O90" i="2"/>
  <c r="C90" i="2"/>
  <c r="O89" i="2"/>
  <c r="C89" i="2"/>
  <c r="O88" i="2"/>
  <c r="C88" i="2"/>
  <c r="O87" i="2"/>
  <c r="C87" i="2"/>
  <c r="O86" i="2"/>
  <c r="C86" i="2"/>
  <c r="O85" i="2"/>
  <c r="C85" i="2"/>
  <c r="O84" i="2"/>
  <c r="C84" i="2"/>
  <c r="O83" i="2"/>
  <c r="C83" i="2"/>
  <c r="O82" i="2"/>
  <c r="C82" i="2"/>
  <c r="O81" i="2"/>
  <c r="C81" i="2"/>
  <c r="O80" i="2"/>
  <c r="C80" i="2"/>
  <c r="O79" i="2"/>
  <c r="C79" i="2"/>
  <c r="O78" i="2"/>
  <c r="C78" i="2"/>
  <c r="O77" i="2"/>
  <c r="C77" i="2"/>
  <c r="O76" i="2"/>
  <c r="C76" i="2"/>
  <c r="O75" i="2"/>
  <c r="C75" i="2"/>
  <c r="O74" i="2"/>
  <c r="C74" i="2"/>
  <c r="O73" i="2"/>
  <c r="C73" i="2"/>
  <c r="O72" i="2"/>
  <c r="C72" i="2"/>
  <c r="O71" i="2"/>
  <c r="C71" i="2"/>
  <c r="O70" i="2"/>
  <c r="C70" i="2"/>
  <c r="O69" i="2"/>
  <c r="C69" i="2"/>
  <c r="O68" i="2"/>
  <c r="C68" i="2"/>
  <c r="O67" i="2"/>
  <c r="C67" i="2"/>
  <c r="O66" i="2"/>
  <c r="C66" i="2"/>
  <c r="O65" i="2"/>
  <c r="C65" i="2"/>
  <c r="O64" i="2"/>
  <c r="C64" i="2"/>
  <c r="O63" i="2"/>
  <c r="C63" i="2"/>
  <c r="O62" i="2"/>
  <c r="C62" i="2"/>
  <c r="O61" i="2"/>
  <c r="C61" i="2"/>
  <c r="O60" i="2"/>
  <c r="C60" i="2"/>
  <c r="O59" i="2"/>
  <c r="C59" i="2"/>
  <c r="O58" i="2"/>
  <c r="C58" i="2"/>
  <c r="O57" i="2"/>
  <c r="C57" i="2"/>
  <c r="O56" i="2"/>
  <c r="C56" i="2"/>
  <c r="O55" i="2"/>
  <c r="C55" i="2"/>
  <c r="O54" i="2"/>
  <c r="C54" i="2"/>
  <c r="O53" i="2"/>
  <c r="C53" i="2"/>
  <c r="O52" i="2"/>
  <c r="C52" i="2"/>
  <c r="O51" i="2"/>
  <c r="C51" i="2"/>
  <c r="O50" i="2"/>
  <c r="C50" i="2"/>
  <c r="O49" i="2"/>
  <c r="C49" i="2"/>
  <c r="O48" i="2"/>
  <c r="C48" i="2"/>
  <c r="O47" i="2"/>
  <c r="C47" i="2"/>
  <c r="O46" i="2"/>
  <c r="C46" i="2"/>
  <c r="O45" i="2"/>
  <c r="C45" i="2"/>
  <c r="O44" i="2"/>
  <c r="C44" i="2"/>
  <c r="O43" i="2"/>
  <c r="C43" i="2"/>
  <c r="O42" i="2"/>
  <c r="C42" i="2"/>
  <c r="O41" i="2"/>
  <c r="C41" i="2"/>
  <c r="O40" i="2"/>
  <c r="C40" i="2"/>
  <c r="C10" i="2"/>
  <c r="C9" i="2"/>
  <c r="C8" i="2"/>
  <c r="C7" i="2"/>
  <c r="C156" i="2" l="1"/>
  <c r="O156" i="2"/>
  <c r="C157" i="2"/>
  <c r="O157" i="2"/>
  <c r="C158" i="2"/>
  <c r="O158" i="2"/>
  <c r="C159" i="2"/>
  <c r="O159" i="2"/>
  <c r="C160" i="2"/>
  <c r="O160" i="2"/>
  <c r="C161" i="2"/>
  <c r="O161" i="2"/>
  <c r="C162" i="2"/>
  <c r="O162" i="2"/>
  <c r="C163" i="2"/>
  <c r="O163" i="2"/>
  <c r="C164" i="2"/>
  <c r="O164" i="2"/>
  <c r="C165" i="2"/>
  <c r="O165" i="2"/>
  <c r="C166" i="2"/>
  <c r="O166" i="2"/>
  <c r="C167" i="2"/>
  <c r="O167" i="2"/>
  <c r="C168" i="2"/>
  <c r="O168" i="2"/>
  <c r="C169" i="2"/>
  <c r="O169" i="2"/>
  <c r="C170" i="2"/>
  <c r="O170" i="2"/>
  <c r="C171" i="2"/>
  <c r="O171" i="2"/>
  <c r="C172" i="2"/>
  <c r="O172" i="2"/>
  <c r="C173" i="2"/>
  <c r="O173" i="2"/>
  <c r="C174" i="2"/>
  <c r="O174" i="2"/>
  <c r="C175" i="2"/>
  <c r="O175" i="2"/>
  <c r="C176" i="2"/>
  <c r="O176" i="2"/>
  <c r="C177" i="2"/>
  <c r="O177" i="2"/>
  <c r="C178" i="2"/>
  <c r="O178" i="2"/>
  <c r="C179" i="2"/>
  <c r="O179" i="2"/>
  <c r="C180" i="2"/>
  <c r="O180" i="2"/>
  <c r="C181" i="2"/>
  <c r="O181" i="2"/>
  <c r="C182" i="2"/>
  <c r="O182" i="2"/>
  <c r="C183" i="2"/>
  <c r="O183" i="2"/>
  <c r="C184" i="2"/>
  <c r="O184" i="2"/>
  <c r="C185" i="2"/>
  <c r="O185" i="2"/>
  <c r="C186" i="2"/>
  <c r="O186" i="2"/>
  <c r="C187" i="2"/>
  <c r="O187" i="2"/>
  <c r="D141" i="11" l="1"/>
  <c r="D140" i="11"/>
  <c r="D139" i="11"/>
  <c r="D138" i="11"/>
  <c r="D137" i="11"/>
  <c r="D136" i="11"/>
  <c r="D135" i="11"/>
  <c r="D134" i="11"/>
  <c r="D133" i="11"/>
  <c r="D132" i="11"/>
  <c r="D131" i="11"/>
  <c r="D130" i="11"/>
  <c r="D129" i="11"/>
  <c r="D128" i="11"/>
  <c r="D127" i="11"/>
  <c r="D126" i="11"/>
  <c r="D125" i="11"/>
  <c r="D124" i="11"/>
  <c r="D123" i="11"/>
  <c r="D122" i="11"/>
  <c r="D121" i="11"/>
  <c r="D120" i="11"/>
  <c r="D119" i="11"/>
  <c r="D118" i="11"/>
  <c r="A117" i="11"/>
  <c r="D116" i="11"/>
  <c r="A116" i="11"/>
  <c r="D115" i="11"/>
  <c r="A115" i="11"/>
  <c r="D114" i="11"/>
  <c r="D113" i="11"/>
  <c r="D112" i="11"/>
  <c r="D111" i="11"/>
  <c r="D110" i="11"/>
  <c r="D109" i="11"/>
  <c r="D108" i="11"/>
  <c r="D107" i="11"/>
  <c r="D106" i="11"/>
  <c r="D105" i="11"/>
  <c r="D104" i="11"/>
  <c r="D103" i="11"/>
  <c r="D102" i="11"/>
  <c r="D101" i="11"/>
  <c r="D100" i="11"/>
  <c r="D99" i="11"/>
  <c r="D98" i="11"/>
  <c r="D97" i="11"/>
  <c r="D96" i="11"/>
  <c r="D95" i="11"/>
  <c r="D94" i="11"/>
  <c r="D93" i="11"/>
  <c r="D92" i="11"/>
  <c r="D91" i="11"/>
  <c r="D90" i="11"/>
  <c r="A90" i="11"/>
  <c r="D89" i="11"/>
  <c r="A89" i="11"/>
  <c r="D88" i="11"/>
  <c r="A88" i="11"/>
  <c r="D87" i="11"/>
  <c r="D86" i="11"/>
  <c r="D85" i="11"/>
  <c r="D84" i="11"/>
  <c r="D83" i="11"/>
  <c r="D82" i="11"/>
  <c r="D81" i="11"/>
  <c r="D80" i="11"/>
  <c r="D79" i="11"/>
  <c r="D78" i="11"/>
  <c r="D77" i="11"/>
  <c r="D76" i="11"/>
  <c r="D75" i="11"/>
  <c r="A75" i="11"/>
  <c r="D74" i="11"/>
  <c r="A74" i="11"/>
  <c r="D73" i="11"/>
  <c r="A73" i="11"/>
  <c r="D72" i="11"/>
  <c r="D71" i="11"/>
  <c r="D70" i="11"/>
  <c r="D69" i="11"/>
  <c r="A69" i="11"/>
  <c r="D68" i="11"/>
  <c r="A68" i="11"/>
  <c r="D67" i="11"/>
  <c r="D66" i="11"/>
  <c r="D65" i="11"/>
  <c r="D64" i="11"/>
  <c r="D63" i="11"/>
  <c r="D62" i="11"/>
  <c r="A62" i="11"/>
  <c r="D61" i="11"/>
  <c r="D60" i="11"/>
  <c r="D59" i="11"/>
  <c r="D58" i="11"/>
  <c r="D57" i="11"/>
  <c r="D56" i="11"/>
  <c r="D55" i="11"/>
  <c r="A55" i="11"/>
  <c r="D54" i="11"/>
  <c r="D53" i="11"/>
  <c r="D52" i="11"/>
  <c r="D51" i="11"/>
  <c r="A51" i="11"/>
  <c r="D50" i="11"/>
  <c r="A50" i="11"/>
  <c r="D49" i="11"/>
  <c r="A49" i="11"/>
  <c r="D48" i="11"/>
  <c r="A48" i="11"/>
  <c r="D47" i="11"/>
  <c r="A47" i="11"/>
  <c r="D46" i="11"/>
  <c r="A46" i="11"/>
  <c r="D45" i="11"/>
  <c r="A45" i="11"/>
  <c r="D44" i="11"/>
  <c r="A44" i="11"/>
  <c r="D43" i="11"/>
  <c r="A43" i="11"/>
  <c r="D42" i="11"/>
  <c r="A42" i="11"/>
  <c r="D41" i="11"/>
  <c r="A41" i="11"/>
  <c r="D40" i="11"/>
  <c r="A40" i="11"/>
  <c r="D39" i="11"/>
  <c r="A39" i="11"/>
  <c r="D38" i="11"/>
  <c r="A38" i="11"/>
  <c r="D37" i="11"/>
  <c r="A37" i="11"/>
  <c r="D36" i="11"/>
  <c r="A36" i="11"/>
  <c r="D35" i="11"/>
  <c r="A35" i="11"/>
  <c r="A34" i="11"/>
  <c r="D33" i="11"/>
  <c r="D32" i="11"/>
  <c r="D31" i="11"/>
  <c r="D30" i="11"/>
  <c r="D29" i="11"/>
  <c r="D28" i="11"/>
  <c r="D27" i="11"/>
  <c r="D26" i="11"/>
  <c r="D25" i="11"/>
  <c r="D24" i="11"/>
  <c r="A24" i="11"/>
  <c r="D23" i="11"/>
  <c r="A23" i="11"/>
  <c r="D22" i="11"/>
  <c r="A22" i="11"/>
  <c r="D21" i="11"/>
  <c r="A21" i="11"/>
  <c r="D20" i="11"/>
  <c r="A20" i="11"/>
  <c r="D19" i="11"/>
  <c r="A19" i="11"/>
  <c r="D18" i="11"/>
  <c r="A18" i="11"/>
  <c r="D17" i="11"/>
  <c r="A17" i="11"/>
  <c r="D16" i="11"/>
  <c r="A16" i="11"/>
  <c r="D15" i="11"/>
  <c r="A15" i="11"/>
  <c r="D14" i="11"/>
  <c r="A14" i="11"/>
  <c r="D13" i="11"/>
  <c r="A13" i="11"/>
  <c r="D12" i="11"/>
  <c r="A12" i="11"/>
  <c r="D11" i="11"/>
  <c r="A11" i="11"/>
  <c r="A10" i="11"/>
  <c r="D9" i="11"/>
  <c r="D8" i="11"/>
  <c r="D7" i="11"/>
  <c r="A7" i="11"/>
  <c r="D6" i="11"/>
  <c r="A6" i="11"/>
  <c r="D5" i="11"/>
  <c r="A5" i="11"/>
  <c r="D4" i="11"/>
  <c r="A4" i="11"/>
  <c r="D3" i="11"/>
  <c r="A3" i="11"/>
  <c r="C188" i="2"/>
  <c r="O188" i="2"/>
  <c r="C189" i="2"/>
  <c r="O189" i="2"/>
  <c r="C190" i="2"/>
  <c r="O190" i="2"/>
  <c r="C191" i="2"/>
  <c r="O191" i="2"/>
  <c r="C192" i="2"/>
  <c r="O192" i="2"/>
  <c r="C193" i="2"/>
  <c r="O193" i="2"/>
  <c r="C194" i="2"/>
  <c r="O194" i="2"/>
  <c r="C195" i="2"/>
  <c r="O195" i="2"/>
  <c r="C196" i="2"/>
  <c r="O196" i="2"/>
  <c r="C197" i="2"/>
  <c r="O197" i="2"/>
  <c r="C198" i="2"/>
  <c r="O198" i="2"/>
  <c r="C199" i="2"/>
  <c r="O199" i="2"/>
  <c r="C200" i="2"/>
  <c r="O200" i="2"/>
  <c r="C201" i="2"/>
  <c r="O201" i="2"/>
  <c r="C202" i="2"/>
  <c r="O202" i="2"/>
  <c r="C203" i="2"/>
  <c r="O203" i="2"/>
  <c r="C204" i="2"/>
  <c r="O204" i="2"/>
  <c r="C205" i="2"/>
  <c r="O205" i="2"/>
  <c r="C206" i="2"/>
  <c r="O206" i="2"/>
  <c r="C207" i="2"/>
  <c r="O207" i="2"/>
  <c r="C208" i="2"/>
  <c r="O208" i="2"/>
  <c r="C209" i="2"/>
  <c r="O209" i="2"/>
  <c r="C210" i="2"/>
  <c r="O210" i="2"/>
  <c r="C211" i="2"/>
  <c r="O211" i="2"/>
  <c r="C212" i="2"/>
  <c r="O212" i="2"/>
  <c r="C213" i="2"/>
  <c r="O213" i="2"/>
  <c r="C214" i="2"/>
  <c r="O214" i="2"/>
  <c r="C215" i="2"/>
  <c r="O215" i="2"/>
  <c r="C216" i="2"/>
  <c r="O216" i="2"/>
  <c r="C217" i="2"/>
  <c r="O217" i="2"/>
  <c r="C218" i="2"/>
  <c r="O218" i="2"/>
  <c r="C219" i="2"/>
  <c r="O219" i="2"/>
  <c r="C220" i="2"/>
  <c r="O220" i="2"/>
  <c r="C221" i="2"/>
  <c r="O221" i="2"/>
  <c r="C222" i="2"/>
  <c r="O222" i="2"/>
  <c r="C223" i="2"/>
  <c r="O223" i="2"/>
  <c r="C224" i="2"/>
  <c r="O224" i="2"/>
  <c r="C225" i="2"/>
  <c r="O225" i="2"/>
  <c r="C226" i="2"/>
  <c r="O226" i="2"/>
  <c r="C227" i="2"/>
  <c r="O227" i="2"/>
  <c r="C228" i="2"/>
  <c r="O228" i="2"/>
  <c r="C229" i="2"/>
  <c r="O229" i="2"/>
  <c r="C230" i="2"/>
  <c r="O230" i="2"/>
  <c r="C231" i="2"/>
  <c r="O231" i="2"/>
  <c r="C232" i="2"/>
  <c r="O232" i="2"/>
  <c r="C233" i="2"/>
  <c r="O233" i="2"/>
  <c r="C234" i="2"/>
  <c r="O234" i="2"/>
  <c r="C235" i="2"/>
  <c r="O235" i="2"/>
  <c r="C236" i="2"/>
  <c r="O236" i="2"/>
  <c r="C237" i="2"/>
  <c r="O237" i="2"/>
  <c r="C238" i="2"/>
  <c r="O238" i="2"/>
  <c r="C239" i="2"/>
  <c r="O239" i="2"/>
  <c r="C240" i="2"/>
  <c r="O240" i="2"/>
  <c r="C241" i="2"/>
  <c r="O241" i="2"/>
  <c r="C242" i="2"/>
  <c r="O242" i="2"/>
  <c r="C243" i="2"/>
  <c r="O243" i="2"/>
  <c r="C244" i="2"/>
  <c r="O244" i="2"/>
  <c r="C245" i="2"/>
  <c r="O245" i="2"/>
  <c r="C246" i="2"/>
  <c r="O246" i="2"/>
  <c r="C247" i="2"/>
  <c r="O247" i="2"/>
  <c r="C248" i="2"/>
  <c r="O248" i="2"/>
  <c r="C249" i="2"/>
  <c r="O249" i="2"/>
  <c r="C250" i="2"/>
  <c r="O250" i="2"/>
  <c r="C251" i="2"/>
  <c r="O251" i="2"/>
  <c r="C252" i="2"/>
  <c r="O252" i="2"/>
  <c r="C253" i="2"/>
  <c r="O253" i="2"/>
  <c r="C254" i="2"/>
  <c r="O254" i="2"/>
  <c r="C255" i="2"/>
  <c r="O255" i="2"/>
  <c r="C256" i="2"/>
  <c r="O256" i="2"/>
  <c r="C257" i="2"/>
  <c r="O257" i="2"/>
  <c r="C258" i="2"/>
  <c r="O258" i="2"/>
  <c r="C259" i="2"/>
  <c r="O259" i="2"/>
  <c r="C260" i="2"/>
  <c r="O260" i="2"/>
  <c r="C261" i="2"/>
  <c r="O261" i="2"/>
  <c r="C262" i="2"/>
  <c r="O262" i="2"/>
  <c r="C263" i="2"/>
  <c r="O263" i="2"/>
  <c r="C264" i="2"/>
  <c r="O264" i="2"/>
  <c r="C265" i="2"/>
  <c r="O265" i="2"/>
  <c r="C266" i="2"/>
  <c r="O266" i="2"/>
  <c r="C267" i="2"/>
  <c r="O267" i="2"/>
  <c r="C268" i="2"/>
  <c r="O268" i="2"/>
  <c r="C269" i="2"/>
  <c r="O269" i="2"/>
  <c r="C270" i="2"/>
  <c r="O270" i="2"/>
  <c r="C271" i="2"/>
  <c r="O271" i="2"/>
  <c r="C272" i="2"/>
  <c r="O272" i="2"/>
  <c r="C273" i="2"/>
  <c r="O273" i="2"/>
  <c r="C274" i="2"/>
  <c r="O274" i="2"/>
  <c r="C275" i="2"/>
  <c r="O275" i="2"/>
  <c r="C276" i="2"/>
  <c r="O276" i="2"/>
  <c r="C277" i="2"/>
  <c r="O277" i="2"/>
  <c r="C278" i="2"/>
  <c r="O278" i="2"/>
  <c r="C279" i="2"/>
  <c r="O279" i="2"/>
  <c r="C280" i="2"/>
  <c r="O280" i="2"/>
  <c r="C281" i="2"/>
  <c r="O281" i="2"/>
  <c r="O10" i="2"/>
  <c r="O9" i="2"/>
  <c r="O8" i="2"/>
  <c r="O7" i="2"/>
  <c r="O6" i="2" l="1"/>
  <c r="C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Kosei Takashima</author>
  </authors>
  <commentList>
    <comment ref="B2" authorId="0" shapeId="0" xr:uid="{0966D395-13B9-4F10-A1D8-AFA840414C02}">
      <text>
        <r>
          <rPr>
            <b/>
            <sz val="9"/>
            <color indexed="81"/>
            <rFont val="MS P ゴシック"/>
            <family val="3"/>
            <charset val="128"/>
          </rPr>
          <t>Five types of accounting assets, liabilities, equity, income, and expenses</t>
        </r>
      </text>
    </comment>
    <comment ref="C2" authorId="0" shapeId="0" xr:uid="{43F090F9-72A0-4025-A9B6-CD338D5AF698}">
      <text>
        <r>
          <rPr>
            <b/>
            <sz val="9"/>
            <color indexed="81"/>
            <rFont val="MS P ゴシック"/>
            <family val="3"/>
            <charset val="128"/>
          </rPr>
          <t>Subject Type Code
This code number is used commonly in all subsequent accounting-relationtable creation and simulation programs.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Kosei Takashima</author>
  </authors>
  <commentList>
    <comment ref="B2" authorId="0" shapeId="0" xr:uid="{E7EC862A-F4B4-486D-BA74-6834F68143F1}">
      <text>
        <r>
          <rPr>
            <b/>
            <sz val="9"/>
            <color indexed="81"/>
            <rFont val="MS P ゴシック"/>
            <family val="3"/>
            <charset val="128"/>
          </rPr>
          <t>AgentID must be entered in ascending order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Kosei Takashima</author>
  </authors>
  <commentList>
    <comment ref="B5" authorId="0" shapeId="0" xr:uid="{06C562AB-9F7A-4DFB-945E-04CE7B748C2A}">
      <text>
        <r>
          <rPr>
            <b/>
            <sz val="9"/>
            <color indexed="81"/>
            <rFont val="MS P ゴシック"/>
            <family val="3"/>
            <charset val="128"/>
          </rPr>
          <t>IDをプルダウンから選択するとSenderのAgentNameが抽出される</t>
        </r>
      </text>
    </comment>
    <comment ref="C5" authorId="0" shapeId="0" xr:uid="{93DA7D52-E803-4909-9B1A-9AA0099D050D}">
      <text>
        <r>
          <rPr>
            <b/>
            <sz val="9"/>
            <color indexed="81"/>
            <rFont val="MS P ゴシック"/>
            <family val="3"/>
            <charset val="128"/>
          </rPr>
          <t>この会計関連の能動的な意思決定主体</t>
        </r>
      </text>
    </comment>
    <comment ref="D5" authorId="0" shapeId="0" xr:uid="{B6092601-E608-4284-B36D-1C89F86EA4F1}">
      <text>
        <r>
          <rPr>
            <b/>
            <sz val="9"/>
            <color indexed="81"/>
            <rFont val="MS P ゴシック"/>
            <family val="3"/>
            <charset val="128"/>
          </rPr>
          <t>能動側の仕訳の借方科目種類</t>
        </r>
      </text>
    </comment>
    <comment ref="E5" authorId="0" shapeId="0" xr:uid="{863E7158-DF40-488D-81C8-717FE2BC519C}">
      <text>
        <r>
          <rPr>
            <b/>
            <sz val="9"/>
            <color indexed="81"/>
            <rFont val="MS P ゴシック"/>
            <family val="3"/>
            <charset val="128"/>
          </rPr>
          <t xml:space="preserve">能動的な仕訳の借方科目名
</t>
        </r>
      </text>
    </comment>
    <comment ref="F5" authorId="0" shapeId="0" xr:uid="{91FB3FE8-5DA6-495F-AC10-4F63E472C840}">
      <text>
        <r>
          <rPr>
            <b/>
            <sz val="9"/>
            <color indexed="81"/>
            <rFont val="MS P ゴシック"/>
            <family val="3"/>
            <charset val="128"/>
          </rPr>
          <t>能動的な仕訳の摘要</t>
        </r>
      </text>
    </comment>
    <comment ref="G5" authorId="0" shapeId="0" xr:uid="{307F4439-305D-4C24-8DE2-F5054109406D}">
      <text>
        <r>
          <rPr>
            <b/>
            <sz val="9"/>
            <color indexed="81"/>
            <rFont val="MS P ゴシック"/>
            <family val="3"/>
            <charset val="128"/>
          </rPr>
          <t>能動的な仕訳の貸方科目名</t>
        </r>
      </text>
    </comment>
    <comment ref="H5" authorId="0" shapeId="0" xr:uid="{7AE8B3A1-9FFA-4DC5-A046-170F3C261351}">
      <text>
        <r>
          <rPr>
            <b/>
            <sz val="9"/>
            <color indexed="81"/>
            <rFont val="MS P ゴシック"/>
            <family val="3"/>
            <charset val="128"/>
          </rPr>
          <t>能動的な仕訳の貸方科目種類</t>
        </r>
      </text>
    </comment>
  </commentList>
</comments>
</file>

<file path=xl/sharedStrings.xml><?xml version="1.0" encoding="utf-8"?>
<sst xmlns="http://schemas.openxmlformats.org/spreadsheetml/2006/main" count="2092" uniqueCount="580">
  <si>
    <t>AgentID</t>
    <phoneticPr fontId="1"/>
  </si>
  <si>
    <t>AgentAbbreviation</t>
    <phoneticPr fontId="1"/>
  </si>
  <si>
    <t>Agent
Name</t>
    <phoneticPr fontId="1"/>
  </si>
  <si>
    <t>Abstract</t>
    <phoneticPr fontId="1"/>
  </si>
  <si>
    <t>H</t>
    <phoneticPr fontId="1"/>
  </si>
  <si>
    <t>F</t>
    <phoneticPr fontId="1"/>
  </si>
  <si>
    <t>G</t>
    <phoneticPr fontId="1"/>
  </si>
  <si>
    <t>Sender</t>
    <phoneticPr fontId="1"/>
  </si>
  <si>
    <t>Debit 
Subject</t>
    <phoneticPr fontId="1"/>
  </si>
  <si>
    <t>Debit 
SubType</t>
    <phoneticPr fontId="1"/>
  </si>
  <si>
    <t>Description</t>
    <phoneticPr fontId="1"/>
  </si>
  <si>
    <t>Credit
Subject</t>
    <phoneticPr fontId="1"/>
  </si>
  <si>
    <t>Credit
Sub Type</t>
    <phoneticPr fontId="1"/>
  </si>
  <si>
    <t>Accounting Relation</t>
    <phoneticPr fontId="1"/>
  </si>
  <si>
    <t>Receiver</t>
    <phoneticPr fontId="1"/>
  </si>
  <si>
    <t>Send
ID</t>
    <phoneticPr fontId="1"/>
  </si>
  <si>
    <t>Rece
ID</t>
    <phoneticPr fontId="1"/>
  </si>
  <si>
    <t>Subject Type Table</t>
    <phoneticPr fontId="1"/>
  </si>
  <si>
    <t>Assets</t>
  </si>
  <si>
    <t>Assets</t>
    <phoneticPr fontId="1"/>
  </si>
  <si>
    <t>Liabilities</t>
  </si>
  <si>
    <t>Liabilities</t>
    <phoneticPr fontId="1"/>
  </si>
  <si>
    <t>Equity</t>
    <phoneticPr fontId="1"/>
  </si>
  <si>
    <t>Expenses</t>
  </si>
  <si>
    <t>Expenses</t>
    <phoneticPr fontId="1"/>
  </si>
  <si>
    <t>Revenue</t>
  </si>
  <si>
    <t>ARID</t>
    <phoneticPr fontId="1"/>
  </si>
  <si>
    <t>Sentence
ID</t>
    <phoneticPr fontId="1"/>
  </si>
  <si>
    <t>-</t>
  </si>
  <si>
    <t>SentenceID</t>
    <phoneticPr fontId="1"/>
  </si>
  <si>
    <t>Debit
Code</t>
    <phoneticPr fontId="1"/>
  </si>
  <si>
    <t>Credit
Code</t>
    <phoneticPr fontId="1"/>
  </si>
  <si>
    <t>Agent</t>
    <phoneticPr fontId="1"/>
  </si>
  <si>
    <t>Subject Code</t>
    <phoneticPr fontId="1"/>
  </si>
  <si>
    <t>OverlapID</t>
    <phoneticPr fontId="1"/>
  </si>
  <si>
    <t>Detection row's ID</t>
    <phoneticPr fontId="1"/>
  </si>
  <si>
    <t>Detection row's Debid</t>
    <phoneticPr fontId="1"/>
  </si>
  <si>
    <t>Detection row's Description</t>
    <phoneticPr fontId="1"/>
  </si>
  <si>
    <t>Detection row's Credit</t>
    <phoneticPr fontId="1"/>
  </si>
  <si>
    <t>Repetition row's ID</t>
    <phoneticPr fontId="1"/>
  </si>
  <si>
    <t>Repetition row's Debid</t>
    <phoneticPr fontId="1"/>
  </si>
  <si>
    <t>Repetition row's Description</t>
    <phoneticPr fontId="1"/>
  </si>
  <si>
    <t>Repetition row's Credit</t>
    <phoneticPr fontId="1"/>
  </si>
  <si>
    <t>元行ID</t>
    <phoneticPr fontId="1"/>
  </si>
  <si>
    <t>重複行ID</t>
    <phoneticPr fontId="1"/>
  </si>
  <si>
    <t>科目種コード</t>
    <phoneticPr fontId="1"/>
  </si>
  <si>
    <t>科目名</t>
    <phoneticPr fontId="1"/>
  </si>
  <si>
    <t>Subject Table</t>
    <phoneticPr fontId="1"/>
  </si>
  <si>
    <t>Subject Table Type</t>
    <phoneticPr fontId="1"/>
  </si>
  <si>
    <t>Subject Table AgentSector</t>
    <phoneticPr fontId="1"/>
  </si>
  <si>
    <t>SubjectName</t>
  </si>
  <si>
    <t>SubjectType</t>
  </si>
  <si>
    <t>Asset</t>
  </si>
  <si>
    <t>Equity</t>
  </si>
  <si>
    <t>Revenues</t>
  </si>
  <si>
    <t>Revenues</t>
    <phoneticPr fontId="1"/>
  </si>
  <si>
    <t>Define the type of agent to be included in the model, and enter the AgentID, AgentAbbreviation, and AgentName on the AgentSector sheet.</t>
    <phoneticPr fontId="1"/>
  </si>
  <si>
    <t>B</t>
  </si>
  <si>
    <t>B</t>
    <phoneticPr fontId="1"/>
  </si>
  <si>
    <t>現金</t>
  </si>
  <si>
    <t>初期資産投入</t>
  </si>
  <si>
    <t>資本金</t>
  </si>
  <si>
    <t>A</t>
    <phoneticPr fontId="1"/>
  </si>
  <si>
    <t>資本_R</t>
  </si>
  <si>
    <t>資本_W</t>
  </si>
  <si>
    <t>資本_E</t>
  </si>
  <si>
    <t>資本_B</t>
  </si>
  <si>
    <t>短期借入金</t>
  </si>
  <si>
    <t>長期借入金</t>
  </si>
  <si>
    <t>E</t>
    <phoneticPr fontId="1"/>
  </si>
  <si>
    <t>ボーナス予算金計上</t>
  </si>
  <si>
    <t>経営者報酬予算金計上</t>
  </si>
  <si>
    <t>経営者報酬予算金</t>
  </si>
  <si>
    <t>借入返済予算金</t>
  </si>
  <si>
    <t>支払利息予算金計上</t>
  </si>
  <si>
    <t>支払利息予算金</t>
  </si>
  <si>
    <t>企業補助予算金</t>
  </si>
  <si>
    <t>企業補助予算金計上</t>
  </si>
  <si>
    <t>企業補助予算金振替</t>
  </si>
  <si>
    <t>資本(減価償却用)</t>
  </si>
  <si>
    <t>減価償却費</t>
  </si>
  <si>
    <t>減価償却費計上</t>
  </si>
  <si>
    <t>生産投入費</t>
  </si>
  <si>
    <t>減価償却費振替</t>
  </si>
  <si>
    <t>未払い利息計上</t>
  </si>
  <si>
    <t>利息費振替(設備)</t>
  </si>
  <si>
    <t>支払利息(設備)</t>
  </si>
  <si>
    <t>固定給与</t>
  </si>
  <si>
    <t>未払い給与計上</t>
  </si>
  <si>
    <t>原材料・労務費</t>
  </si>
  <si>
    <t>労務費振替</t>
  </si>
  <si>
    <t>原料振替</t>
  </si>
  <si>
    <t>原料_R</t>
  </si>
  <si>
    <t>原料_W</t>
  </si>
  <si>
    <t>原料_E</t>
  </si>
  <si>
    <t>生産投入費振替</t>
  </si>
  <si>
    <t>製品</t>
  </si>
  <si>
    <t>製品生産</t>
  </si>
  <si>
    <t>未払い固定給与</t>
  </si>
  <si>
    <t>固定給支払</t>
  </si>
  <si>
    <t>固定給与予算金</t>
  </si>
  <si>
    <t>企業補助金</t>
  </si>
  <si>
    <t>企業補助金支払</t>
  </si>
  <si>
    <t>長期借入</t>
  </si>
  <si>
    <t>未払い利息(設備)</t>
  </si>
  <si>
    <t>利息支払</t>
  </si>
  <si>
    <t>長期借入返済</t>
  </si>
  <si>
    <t>短期借入返済</t>
  </si>
  <si>
    <t>初期短期現金貸出</t>
  </si>
  <si>
    <t>初期長期期現金貸出</t>
  </si>
  <si>
    <t>固定給受取</t>
  </si>
  <si>
    <t>受取固定給与</t>
  </si>
  <si>
    <t>補助金受取</t>
  </si>
  <si>
    <t>受取補助金</t>
  </si>
  <si>
    <t>貸出利息受取</t>
  </si>
  <si>
    <t>受取利息</t>
  </si>
  <si>
    <t>預金</t>
  </si>
  <si>
    <t>預金預入</t>
  </si>
  <si>
    <t>支払利息(金利)</t>
  </si>
  <si>
    <t>預金預かり</t>
  </si>
  <si>
    <t>預かり預金</t>
  </si>
  <si>
    <t>預金利息受取</t>
  </si>
  <si>
    <t>CtoR消耗品購買</t>
  </si>
  <si>
    <t>消耗品_R</t>
  </si>
  <si>
    <t>消耗品購買_R</t>
  </si>
  <si>
    <t>売上原価</t>
  </si>
  <si>
    <t>製品販売_G_消耗品</t>
  </si>
  <si>
    <t>製品売上_G_消耗品</t>
  </si>
  <si>
    <t>製品販売_C_消耗品</t>
  </si>
  <si>
    <t>製品売上_C_消耗品</t>
  </si>
  <si>
    <t>CodeID前半</t>
    <rPh sb="6" eb="8">
      <t>ゼンハン</t>
    </rPh>
    <phoneticPr fontId="6"/>
  </si>
  <si>
    <t>CodeId後半</t>
    <rPh sb="6" eb="8">
      <t>コウハン</t>
    </rPh>
    <phoneticPr fontId="6"/>
  </si>
  <si>
    <t>DictonaryCodeID</t>
    <phoneticPr fontId="6"/>
  </si>
  <si>
    <t>処理名</t>
    <rPh sb="0" eb="2">
      <t>ショリ</t>
    </rPh>
    <rPh sb="2" eb="3">
      <t>メイ</t>
    </rPh>
    <phoneticPr fontId="6"/>
  </si>
  <si>
    <t>送信数</t>
    <rPh sb="0" eb="2">
      <t>ソウシン</t>
    </rPh>
    <rPh sb="2" eb="3">
      <t>スウ</t>
    </rPh>
    <phoneticPr fontId="6"/>
  </si>
  <si>
    <t>受信数</t>
    <rPh sb="0" eb="2">
      <t>ジュシン</t>
    </rPh>
    <rPh sb="2" eb="3">
      <t>スウ</t>
    </rPh>
    <phoneticPr fontId="6"/>
  </si>
  <si>
    <t>送信側コード</t>
    <rPh sb="0" eb="2">
      <t>ソウシン</t>
    </rPh>
    <rPh sb="2" eb="3">
      <t>ガワ</t>
    </rPh>
    <phoneticPr fontId="6"/>
  </si>
  <si>
    <t>借</t>
    <rPh sb="0" eb="1">
      <t>カ</t>
    </rPh>
    <phoneticPr fontId="6"/>
  </si>
  <si>
    <t>借クラス</t>
    <rPh sb="0" eb="1">
      <t>カ</t>
    </rPh>
    <phoneticPr fontId="6"/>
  </si>
  <si>
    <t>借方</t>
    <rPh sb="0" eb="2">
      <t>カリカタ</t>
    </rPh>
    <phoneticPr fontId="6"/>
  </si>
  <si>
    <t>適用</t>
    <rPh sb="0" eb="2">
      <t>テキヨウ</t>
    </rPh>
    <phoneticPr fontId="6"/>
  </si>
  <si>
    <t>貸方</t>
    <rPh sb="0" eb="2">
      <t>カシカタ</t>
    </rPh>
    <phoneticPr fontId="6"/>
  </si>
  <si>
    <t>貸クラス</t>
    <rPh sb="0" eb="1">
      <t>カシ</t>
    </rPh>
    <phoneticPr fontId="6"/>
  </si>
  <si>
    <t>貸</t>
    <rPh sb="0" eb="1">
      <t>カシ</t>
    </rPh>
    <phoneticPr fontId="6"/>
  </si>
  <si>
    <t>Agent</t>
    <phoneticPr fontId="6"/>
  </si>
  <si>
    <t>受信側コード</t>
    <rPh sb="0" eb="2">
      <t>ジュシン</t>
    </rPh>
    <rPh sb="2" eb="3">
      <t>ガワ</t>
    </rPh>
    <phoneticPr fontId="6"/>
  </si>
  <si>
    <t>初期資金：0　X　X　X　X</t>
    <rPh sb="0" eb="2">
      <t>ショキ</t>
    </rPh>
    <rPh sb="2" eb="4">
      <t>シキン</t>
    </rPh>
    <phoneticPr fontId="6"/>
  </si>
  <si>
    <t>初期資産設定_現金</t>
    <rPh sb="0" eb="2">
      <t>ショキ</t>
    </rPh>
    <rPh sb="2" eb="4">
      <t>シサン</t>
    </rPh>
    <rPh sb="4" eb="6">
      <t>セッテイ</t>
    </rPh>
    <rPh sb="7" eb="9">
      <t>ゲンキン</t>
    </rPh>
    <phoneticPr fontId="6"/>
  </si>
  <si>
    <t>C, R, W, E, B, G</t>
    <phoneticPr fontId="6"/>
  </si>
  <si>
    <t>初期資産設定_資本_R</t>
    <rPh sb="0" eb="2">
      <t>ショキ</t>
    </rPh>
    <rPh sb="2" eb="4">
      <t>シサン</t>
    </rPh>
    <rPh sb="4" eb="6">
      <t>セッテイ</t>
    </rPh>
    <rPh sb="7" eb="9">
      <t>シホン</t>
    </rPh>
    <phoneticPr fontId="6"/>
  </si>
  <si>
    <t>R, W, E, B</t>
    <phoneticPr fontId="6"/>
  </si>
  <si>
    <t>初期資産設定_資本_W</t>
    <rPh sb="0" eb="2">
      <t>ショキ</t>
    </rPh>
    <rPh sb="2" eb="4">
      <t>シサン</t>
    </rPh>
    <rPh sb="4" eb="6">
      <t>セッテイ</t>
    </rPh>
    <rPh sb="7" eb="9">
      <t>シホン</t>
    </rPh>
    <phoneticPr fontId="6"/>
  </si>
  <si>
    <t>初期資産設定_資本_E</t>
    <rPh sb="0" eb="2">
      <t>ショキ</t>
    </rPh>
    <rPh sb="2" eb="4">
      <t>シサン</t>
    </rPh>
    <rPh sb="4" eb="6">
      <t>セッテイ</t>
    </rPh>
    <rPh sb="7" eb="9">
      <t>シホン</t>
    </rPh>
    <phoneticPr fontId="6"/>
  </si>
  <si>
    <t>初期資産設定_資本_B</t>
    <rPh sb="0" eb="2">
      <t>ショキ</t>
    </rPh>
    <rPh sb="2" eb="4">
      <t>シサン</t>
    </rPh>
    <rPh sb="4" eb="6">
      <t>セッテイ</t>
    </rPh>
    <rPh sb="7" eb="9">
      <t>シホン</t>
    </rPh>
    <phoneticPr fontId="6"/>
  </si>
  <si>
    <t>初期資産設定_短期借入</t>
    <rPh sb="0" eb="2">
      <t>ショキ</t>
    </rPh>
    <rPh sb="2" eb="4">
      <t>シサン</t>
    </rPh>
    <rPh sb="4" eb="6">
      <t>セッテイ</t>
    </rPh>
    <rPh sb="7" eb="9">
      <t>タンキ</t>
    </rPh>
    <rPh sb="9" eb="11">
      <t>カリイレ</t>
    </rPh>
    <phoneticPr fontId="6"/>
  </si>
  <si>
    <t>短期貸出債権</t>
    <rPh sb="0" eb="2">
      <t>タンキ</t>
    </rPh>
    <phoneticPr fontId="6"/>
  </si>
  <si>
    <t>B</t>
    <phoneticPr fontId="6"/>
  </si>
  <si>
    <t>初期資産設定_長期借入</t>
    <rPh sb="0" eb="2">
      <t>ショキ</t>
    </rPh>
    <rPh sb="2" eb="4">
      <t>シサン</t>
    </rPh>
    <rPh sb="4" eb="6">
      <t>セッテイ</t>
    </rPh>
    <rPh sb="7" eb="9">
      <t>チョウキ</t>
    </rPh>
    <rPh sb="9" eb="11">
      <t>カリイレ</t>
    </rPh>
    <phoneticPr fontId="6"/>
  </si>
  <si>
    <t>長期貸出債権</t>
    <rPh sb="0" eb="2">
      <t>チョウキ</t>
    </rPh>
    <phoneticPr fontId="6"/>
  </si>
  <si>
    <t>予算計上</t>
    <rPh sb="0" eb="2">
      <t>ヨサン</t>
    </rPh>
    <rPh sb="2" eb="4">
      <t>ケイジョウ</t>
    </rPh>
    <phoneticPr fontId="6"/>
  </si>
  <si>
    <t>消耗品購買予算金計上</t>
    <rPh sb="0" eb="2">
      <t>ショウモウ</t>
    </rPh>
    <rPh sb="2" eb="3">
      <t>ヒン</t>
    </rPh>
    <rPh sb="3" eb="5">
      <t>コウバイ</t>
    </rPh>
    <rPh sb="5" eb="7">
      <t>ヨサン</t>
    </rPh>
    <rPh sb="7" eb="8">
      <t>キン</t>
    </rPh>
    <rPh sb="8" eb="10">
      <t>ケイジョウ</t>
    </rPh>
    <phoneticPr fontId="6"/>
  </si>
  <si>
    <t>消耗品購買予算金</t>
    <rPh sb="0" eb="2">
      <t>ショウモウ</t>
    </rPh>
    <rPh sb="2" eb="3">
      <t>ヒン</t>
    </rPh>
    <phoneticPr fontId="6"/>
  </si>
  <si>
    <t>消耗品購買予算金計上</t>
    <rPh sb="0" eb="2">
      <t>ショウモウ</t>
    </rPh>
    <rPh sb="2" eb="3">
      <t>ヒン</t>
    </rPh>
    <rPh sb="8" eb="10">
      <t>ケイジョウ</t>
    </rPh>
    <phoneticPr fontId="6"/>
  </si>
  <si>
    <t>消耗品購買予算金振替</t>
    <rPh sb="0" eb="2">
      <t>ショウモウ</t>
    </rPh>
    <rPh sb="2" eb="3">
      <t>ヒン</t>
    </rPh>
    <rPh sb="3" eb="5">
      <t>コウバイ</t>
    </rPh>
    <rPh sb="5" eb="7">
      <t>ヨサン</t>
    </rPh>
    <rPh sb="7" eb="8">
      <t>キン</t>
    </rPh>
    <rPh sb="8" eb="10">
      <t>フリカエ</t>
    </rPh>
    <phoneticPr fontId="6"/>
  </si>
  <si>
    <t>消費購買予算金振替</t>
  </si>
  <si>
    <t>資本購買予算金計上</t>
    <rPh sb="0" eb="2">
      <t>シホン</t>
    </rPh>
    <rPh sb="2" eb="4">
      <t>コウバイ</t>
    </rPh>
    <rPh sb="4" eb="6">
      <t>ヨサン</t>
    </rPh>
    <rPh sb="6" eb="7">
      <t>キン</t>
    </rPh>
    <rPh sb="7" eb="9">
      <t>ケイジョウ</t>
    </rPh>
    <phoneticPr fontId="6"/>
  </si>
  <si>
    <t>資本購買予算金</t>
    <rPh sb="0" eb="2">
      <t>シホン</t>
    </rPh>
    <rPh sb="2" eb="4">
      <t>コウバイ</t>
    </rPh>
    <rPh sb="4" eb="6">
      <t>ヨサン</t>
    </rPh>
    <rPh sb="6" eb="7">
      <t>キン</t>
    </rPh>
    <phoneticPr fontId="6"/>
  </si>
  <si>
    <t>現金</t>
    <phoneticPr fontId="6"/>
  </si>
  <si>
    <t>資本購買予算金振替</t>
    <rPh sb="0" eb="2">
      <t>シホン</t>
    </rPh>
    <rPh sb="2" eb="4">
      <t>コウバイ</t>
    </rPh>
    <rPh sb="4" eb="6">
      <t>ヨサン</t>
    </rPh>
    <rPh sb="6" eb="7">
      <t>キン</t>
    </rPh>
    <rPh sb="7" eb="9">
      <t>フリカエ</t>
    </rPh>
    <phoneticPr fontId="6"/>
  </si>
  <si>
    <t>原料購買予算金計上</t>
    <rPh sb="0" eb="2">
      <t>ゲンリョウ</t>
    </rPh>
    <rPh sb="2" eb="4">
      <t>コウバイ</t>
    </rPh>
    <rPh sb="4" eb="6">
      <t>ヨサン</t>
    </rPh>
    <rPh sb="6" eb="7">
      <t>キン</t>
    </rPh>
    <rPh sb="7" eb="9">
      <t>ケイジョウ</t>
    </rPh>
    <phoneticPr fontId="6"/>
  </si>
  <si>
    <t>原料購買予算金</t>
    <rPh sb="0" eb="2">
      <t>ゲンリョウ</t>
    </rPh>
    <rPh sb="2" eb="4">
      <t>コウバイ</t>
    </rPh>
    <rPh sb="4" eb="6">
      <t>ヨサン</t>
    </rPh>
    <rPh sb="6" eb="7">
      <t>キン</t>
    </rPh>
    <phoneticPr fontId="6"/>
  </si>
  <si>
    <t>原料購買予算金振替</t>
    <rPh sb="0" eb="2">
      <t>ゲンリョウ</t>
    </rPh>
    <rPh sb="2" eb="4">
      <t>コウバイ</t>
    </rPh>
    <rPh sb="4" eb="6">
      <t>ヨサン</t>
    </rPh>
    <rPh sb="6" eb="7">
      <t>キン</t>
    </rPh>
    <rPh sb="7" eb="9">
      <t>フリカエ</t>
    </rPh>
    <phoneticPr fontId="6"/>
  </si>
  <si>
    <t>固定給与予算金計上</t>
    <rPh sb="0" eb="2">
      <t>コテイ</t>
    </rPh>
    <rPh sb="2" eb="4">
      <t>キュウヨ</t>
    </rPh>
    <rPh sb="4" eb="6">
      <t>ヨサン</t>
    </rPh>
    <rPh sb="6" eb="7">
      <t>キン</t>
    </rPh>
    <rPh sb="7" eb="9">
      <t>ケイジョウ</t>
    </rPh>
    <phoneticPr fontId="6"/>
  </si>
  <si>
    <t>固定給与予算金計上</t>
  </si>
  <si>
    <t>R, W, E, B, G</t>
    <phoneticPr fontId="6"/>
  </si>
  <si>
    <t>ボーナス予算金計上</t>
    <rPh sb="4" eb="6">
      <t>ヨサン</t>
    </rPh>
    <rPh sb="6" eb="7">
      <t>キン</t>
    </rPh>
    <rPh sb="7" eb="9">
      <t>ケイジョウ</t>
    </rPh>
    <phoneticPr fontId="6"/>
  </si>
  <si>
    <t>ボーナス予算金</t>
    <phoneticPr fontId="6"/>
  </si>
  <si>
    <t>経営者報酬予算金計上</t>
    <rPh sb="0" eb="3">
      <t>ケイエイシャ</t>
    </rPh>
    <rPh sb="3" eb="5">
      <t>ホウシュウ</t>
    </rPh>
    <rPh sb="5" eb="7">
      <t>ヨサン</t>
    </rPh>
    <rPh sb="7" eb="8">
      <t>キン</t>
    </rPh>
    <rPh sb="8" eb="10">
      <t>ケイジョウ</t>
    </rPh>
    <phoneticPr fontId="6"/>
  </si>
  <si>
    <t>借入返済予算金計上</t>
    <rPh sb="0" eb="2">
      <t>カリイレ</t>
    </rPh>
    <rPh sb="2" eb="4">
      <t>ヘンサイ</t>
    </rPh>
    <rPh sb="4" eb="6">
      <t>ヨサン</t>
    </rPh>
    <rPh sb="6" eb="7">
      <t>キン</t>
    </rPh>
    <rPh sb="7" eb="9">
      <t>ケイジョウ</t>
    </rPh>
    <phoneticPr fontId="6"/>
  </si>
  <si>
    <t>借入返済金計上</t>
  </si>
  <si>
    <t>支払利息予算金計上</t>
    <rPh sb="0" eb="2">
      <t>シハライ</t>
    </rPh>
    <rPh sb="2" eb="4">
      <t>リソク</t>
    </rPh>
    <rPh sb="4" eb="6">
      <t>ヨサン</t>
    </rPh>
    <rPh sb="6" eb="7">
      <t>キン</t>
    </rPh>
    <rPh sb="7" eb="9">
      <t>ケイジョウ</t>
    </rPh>
    <phoneticPr fontId="6"/>
  </si>
  <si>
    <t>市場購買予算金計上</t>
    <rPh sb="0" eb="2">
      <t>シジョウ</t>
    </rPh>
    <rPh sb="2" eb="4">
      <t>コウバイ</t>
    </rPh>
    <rPh sb="4" eb="6">
      <t>ヨサン</t>
    </rPh>
    <rPh sb="6" eb="7">
      <t>キン</t>
    </rPh>
    <rPh sb="7" eb="9">
      <t>ケイジョウ</t>
    </rPh>
    <phoneticPr fontId="6"/>
  </si>
  <si>
    <t>市場購買予算金</t>
    <phoneticPr fontId="6"/>
  </si>
  <si>
    <t>購買予算金計上</t>
  </si>
  <si>
    <t>G</t>
    <phoneticPr fontId="6"/>
  </si>
  <si>
    <t>企業補助予算金計上</t>
    <rPh sb="0" eb="2">
      <t>キギョウ</t>
    </rPh>
    <rPh sb="2" eb="4">
      <t>ホジョ</t>
    </rPh>
    <rPh sb="4" eb="6">
      <t>ヨサン</t>
    </rPh>
    <rPh sb="6" eb="7">
      <t>キン</t>
    </rPh>
    <rPh sb="7" eb="9">
      <t>ケイジョウ</t>
    </rPh>
    <phoneticPr fontId="6"/>
  </si>
  <si>
    <t>納税予算金計上</t>
    <rPh sb="0" eb="2">
      <t>ノウゼイ</t>
    </rPh>
    <rPh sb="2" eb="4">
      <t>ヨサン</t>
    </rPh>
    <rPh sb="4" eb="5">
      <t>キン</t>
    </rPh>
    <rPh sb="5" eb="7">
      <t>ケイジョウ</t>
    </rPh>
    <phoneticPr fontId="6"/>
  </si>
  <si>
    <t>納税予算金</t>
    <rPh sb="0" eb="2">
      <t>ノウゼイ</t>
    </rPh>
    <rPh sb="2" eb="4">
      <t>ヨサン</t>
    </rPh>
    <rPh sb="4" eb="5">
      <t>キン</t>
    </rPh>
    <phoneticPr fontId="6"/>
  </si>
  <si>
    <t>C, R, W, E, B</t>
  </si>
  <si>
    <t>公共支出予算金計上</t>
    <rPh sb="0" eb="2">
      <t>コウキョウ</t>
    </rPh>
    <rPh sb="2" eb="4">
      <t>シシュツ</t>
    </rPh>
    <rPh sb="4" eb="6">
      <t>ヨサン</t>
    </rPh>
    <rPh sb="6" eb="7">
      <t>キン</t>
    </rPh>
    <rPh sb="7" eb="9">
      <t>ケイジョウ</t>
    </rPh>
    <phoneticPr fontId="6"/>
  </si>
  <si>
    <t>公共支出予算金</t>
    <rPh sb="0" eb="2">
      <t>コウキョウ</t>
    </rPh>
    <rPh sb="2" eb="4">
      <t>シシュツ</t>
    </rPh>
    <rPh sb="4" eb="6">
      <t>ヨサン</t>
    </rPh>
    <rPh sb="6" eb="7">
      <t>キン</t>
    </rPh>
    <phoneticPr fontId="6"/>
  </si>
  <si>
    <t>消耗品購買予算金計上_G</t>
    <rPh sb="0" eb="2">
      <t>ショウモウ</t>
    </rPh>
    <rPh sb="2" eb="3">
      <t>ヒン</t>
    </rPh>
    <rPh sb="3" eb="5">
      <t>コウバイ</t>
    </rPh>
    <rPh sb="5" eb="7">
      <t>ヨサン</t>
    </rPh>
    <rPh sb="7" eb="8">
      <t>キン</t>
    </rPh>
    <rPh sb="8" eb="10">
      <t>ケイジョウ</t>
    </rPh>
    <phoneticPr fontId="6"/>
  </si>
  <si>
    <t>資本購買予算金計上_G</t>
    <rPh sb="0" eb="2">
      <t>シホン</t>
    </rPh>
    <rPh sb="2" eb="4">
      <t>コウバイ</t>
    </rPh>
    <rPh sb="4" eb="6">
      <t>ヨサン</t>
    </rPh>
    <rPh sb="6" eb="7">
      <t>キン</t>
    </rPh>
    <rPh sb="7" eb="9">
      <t>ケイジョウ</t>
    </rPh>
    <phoneticPr fontId="6"/>
  </si>
  <si>
    <t>失業補償予算金計上</t>
    <rPh sb="0" eb="2">
      <t>シツギョウ</t>
    </rPh>
    <rPh sb="2" eb="4">
      <t>ホショウ</t>
    </rPh>
    <rPh sb="4" eb="6">
      <t>ヨサン</t>
    </rPh>
    <rPh sb="6" eb="7">
      <t>キン</t>
    </rPh>
    <rPh sb="7" eb="9">
      <t>ケイジョウ</t>
    </rPh>
    <phoneticPr fontId="6"/>
  </si>
  <si>
    <t>失業補償予算金</t>
    <rPh sb="0" eb="2">
      <t>シツギョウ</t>
    </rPh>
    <rPh sb="2" eb="4">
      <t>ホショウ</t>
    </rPh>
    <rPh sb="4" eb="6">
      <t>ヨサン</t>
    </rPh>
    <rPh sb="6" eb="7">
      <t>キン</t>
    </rPh>
    <phoneticPr fontId="6"/>
  </si>
  <si>
    <t>BI予算金計上</t>
    <rPh sb="2" eb="4">
      <t>ヨサン</t>
    </rPh>
    <rPh sb="4" eb="5">
      <t>キン</t>
    </rPh>
    <rPh sb="5" eb="7">
      <t>ケイジョウ</t>
    </rPh>
    <phoneticPr fontId="6"/>
  </si>
  <si>
    <t>BI予算金</t>
    <rPh sb="2" eb="4">
      <t>ヨサン</t>
    </rPh>
    <rPh sb="4" eb="5">
      <t>キン</t>
    </rPh>
    <phoneticPr fontId="6"/>
  </si>
  <si>
    <t>企業補助予算金振替</t>
    <rPh sb="0" eb="2">
      <t>キギョウ</t>
    </rPh>
    <rPh sb="2" eb="4">
      <t>ホジョ</t>
    </rPh>
    <rPh sb="4" eb="6">
      <t>ヨサン</t>
    </rPh>
    <rPh sb="6" eb="7">
      <t>キン</t>
    </rPh>
    <rPh sb="7" eb="9">
      <t>フリカエ</t>
    </rPh>
    <phoneticPr fontId="6"/>
  </si>
  <si>
    <t>企業補助予算金</t>
    <phoneticPr fontId="6"/>
  </si>
  <si>
    <t>失業補償予算金振替</t>
    <rPh sb="0" eb="2">
      <t>シツギョウ</t>
    </rPh>
    <rPh sb="2" eb="4">
      <t>ホショウ</t>
    </rPh>
    <rPh sb="4" eb="6">
      <t>ヨサン</t>
    </rPh>
    <rPh sb="6" eb="7">
      <t>キン</t>
    </rPh>
    <rPh sb="7" eb="9">
      <t>フリカエ</t>
    </rPh>
    <phoneticPr fontId="6"/>
  </si>
  <si>
    <t>BI予算金振替</t>
    <rPh sb="2" eb="4">
      <t>ヨサン</t>
    </rPh>
    <rPh sb="4" eb="5">
      <t>キン</t>
    </rPh>
    <rPh sb="5" eb="7">
      <t>フリカエ</t>
    </rPh>
    <phoneticPr fontId="6"/>
  </si>
  <si>
    <t>ボーナス予算金振替</t>
    <rPh sb="4" eb="6">
      <t>ヨサン</t>
    </rPh>
    <rPh sb="6" eb="7">
      <t>キン</t>
    </rPh>
    <rPh sb="7" eb="9">
      <t>フリカエ</t>
    </rPh>
    <phoneticPr fontId="6"/>
  </si>
  <si>
    <t>生産行動</t>
    <rPh sb="0" eb="2">
      <t>セイサン</t>
    </rPh>
    <rPh sb="2" eb="4">
      <t>コウドウ</t>
    </rPh>
    <phoneticPr fontId="6"/>
  </si>
  <si>
    <t>減価償却振替_R</t>
    <rPh sb="0" eb="2">
      <t>ゲンカ</t>
    </rPh>
    <rPh sb="2" eb="4">
      <t>ショウキャク</t>
    </rPh>
    <rPh sb="4" eb="6">
      <t>フリカエ</t>
    </rPh>
    <phoneticPr fontId="6"/>
  </si>
  <si>
    <t>資本(減価償却用)</t>
    <phoneticPr fontId="6"/>
  </si>
  <si>
    <t>減価償却振替_R</t>
    <phoneticPr fontId="6"/>
  </si>
  <si>
    <t>減価償却振替_W</t>
    <rPh sb="0" eb="2">
      <t>ゲンカ</t>
    </rPh>
    <rPh sb="2" eb="4">
      <t>ショウキャク</t>
    </rPh>
    <rPh sb="4" eb="6">
      <t>フリカエ</t>
    </rPh>
    <phoneticPr fontId="6"/>
  </si>
  <si>
    <t>減価償却振替_W</t>
    <phoneticPr fontId="6"/>
  </si>
  <si>
    <t>減価償却振替_E</t>
    <rPh sb="0" eb="2">
      <t>ゲンカ</t>
    </rPh>
    <rPh sb="2" eb="4">
      <t>ショウキャク</t>
    </rPh>
    <rPh sb="4" eb="6">
      <t>フリカエ</t>
    </rPh>
    <phoneticPr fontId="6"/>
  </si>
  <si>
    <t>減価償却振替_E</t>
    <phoneticPr fontId="6"/>
  </si>
  <si>
    <t>資本_E</t>
    <phoneticPr fontId="6"/>
  </si>
  <si>
    <t>減価償却振替_B</t>
    <rPh sb="0" eb="2">
      <t>ゲンカ</t>
    </rPh>
    <rPh sb="2" eb="4">
      <t>ショウキャク</t>
    </rPh>
    <rPh sb="4" eb="6">
      <t>フリカエ</t>
    </rPh>
    <phoneticPr fontId="6"/>
  </si>
  <si>
    <t>減価償却振替_B</t>
    <phoneticPr fontId="6"/>
  </si>
  <si>
    <t>減価償却費計上</t>
    <rPh sb="0" eb="2">
      <t>ゲンカ</t>
    </rPh>
    <rPh sb="2" eb="4">
      <t>ショウキャク</t>
    </rPh>
    <rPh sb="4" eb="5">
      <t>ヒ</t>
    </rPh>
    <rPh sb="5" eb="7">
      <t>ケイジョウ</t>
    </rPh>
    <phoneticPr fontId="6"/>
  </si>
  <si>
    <t>減価償却費振替</t>
    <rPh sb="0" eb="2">
      <t>ゲンカ</t>
    </rPh>
    <rPh sb="2" eb="4">
      <t>ショウキャク</t>
    </rPh>
    <rPh sb="4" eb="5">
      <t>ヒ</t>
    </rPh>
    <rPh sb="5" eb="7">
      <t>フリカエ</t>
    </rPh>
    <phoneticPr fontId="6"/>
  </si>
  <si>
    <t>未払い利息計上</t>
    <rPh sb="0" eb="2">
      <t>ミバラ</t>
    </rPh>
    <rPh sb="3" eb="5">
      <t>リソク</t>
    </rPh>
    <rPh sb="5" eb="7">
      <t>ケイジョウ</t>
    </rPh>
    <phoneticPr fontId="6"/>
  </si>
  <si>
    <t>未払い給与計上</t>
    <rPh sb="0" eb="2">
      <t>ミバラ</t>
    </rPh>
    <rPh sb="3" eb="5">
      <t>キュウヨ</t>
    </rPh>
    <rPh sb="5" eb="7">
      <t>ケイジョウ</t>
    </rPh>
    <phoneticPr fontId="6"/>
  </si>
  <si>
    <t>原材料・労務費計上_固定給</t>
    <rPh sb="0" eb="3">
      <t>ゲンザイリョウ</t>
    </rPh>
    <rPh sb="4" eb="7">
      <t>ロウムヒ</t>
    </rPh>
    <rPh sb="7" eb="9">
      <t>ケイジョウ</t>
    </rPh>
    <rPh sb="10" eb="13">
      <t>コテイキュウ</t>
    </rPh>
    <phoneticPr fontId="6"/>
  </si>
  <si>
    <t>原材料・労務費計上_原料_R</t>
    <rPh sb="0" eb="3">
      <t>ゲンザイリョウ</t>
    </rPh>
    <rPh sb="4" eb="7">
      <t>ロウムヒ</t>
    </rPh>
    <rPh sb="7" eb="9">
      <t>ケイジョウ</t>
    </rPh>
    <rPh sb="10" eb="12">
      <t>ゲンリョウ</t>
    </rPh>
    <phoneticPr fontId="6"/>
  </si>
  <si>
    <t>原材料・労務費計上_原料_W</t>
    <rPh sb="0" eb="3">
      <t>ゲンザイリョウ</t>
    </rPh>
    <rPh sb="4" eb="7">
      <t>ロウムヒ</t>
    </rPh>
    <rPh sb="7" eb="9">
      <t>ケイジョウ</t>
    </rPh>
    <rPh sb="10" eb="12">
      <t>ゲンリョウ</t>
    </rPh>
    <phoneticPr fontId="6"/>
  </si>
  <si>
    <t>原材料・労務費計上_原料_E</t>
    <rPh sb="0" eb="3">
      <t>ゲンザイリョウ</t>
    </rPh>
    <rPh sb="4" eb="7">
      <t>ロウムヒ</t>
    </rPh>
    <rPh sb="7" eb="9">
      <t>ケイジョウ</t>
    </rPh>
    <rPh sb="10" eb="12">
      <t>ゲンリョウ</t>
    </rPh>
    <phoneticPr fontId="6"/>
  </si>
  <si>
    <t>原材料・労務費振替</t>
    <rPh sb="0" eb="3">
      <t>ゲンザイリョウ</t>
    </rPh>
    <rPh sb="4" eb="7">
      <t>ロウムヒ</t>
    </rPh>
    <rPh sb="7" eb="9">
      <t>フリカエ</t>
    </rPh>
    <phoneticPr fontId="6"/>
  </si>
  <si>
    <t>製品生産</t>
    <rPh sb="0" eb="2">
      <t>セイヒン</t>
    </rPh>
    <rPh sb="2" eb="4">
      <t>セイサン</t>
    </rPh>
    <phoneticPr fontId="6"/>
  </si>
  <si>
    <t>支払系</t>
    <rPh sb="0" eb="2">
      <t>シハライ</t>
    </rPh>
    <rPh sb="2" eb="3">
      <t>ケイ</t>
    </rPh>
    <phoneticPr fontId="6"/>
  </si>
  <si>
    <t>賃金系</t>
    <rPh sb="0" eb="2">
      <t>チンギン</t>
    </rPh>
    <rPh sb="2" eb="3">
      <t>ケイ</t>
    </rPh>
    <phoneticPr fontId="6"/>
  </si>
  <si>
    <t>固定給与支払い</t>
    <rPh sb="0" eb="2">
      <t>コテイ</t>
    </rPh>
    <rPh sb="2" eb="4">
      <t>キュウヨ</t>
    </rPh>
    <rPh sb="4" eb="6">
      <t>シハラ</t>
    </rPh>
    <phoneticPr fontId="6"/>
  </si>
  <si>
    <t>C</t>
    <phoneticPr fontId="6"/>
  </si>
  <si>
    <t>ボーナス支払</t>
    <rPh sb="4" eb="6">
      <t>シハライ</t>
    </rPh>
    <phoneticPr fontId="6"/>
  </si>
  <si>
    <t>未払いボーナス</t>
    <phoneticPr fontId="6"/>
  </si>
  <si>
    <t>ボーナス支払い</t>
    <rPh sb="4" eb="6">
      <t>シハラ</t>
    </rPh>
    <phoneticPr fontId="6"/>
  </si>
  <si>
    <t>ボーナス予算金</t>
    <rPh sb="4" eb="6">
      <t>ヨサン</t>
    </rPh>
    <rPh sb="6" eb="7">
      <t>キン</t>
    </rPh>
    <phoneticPr fontId="6"/>
  </si>
  <si>
    <t>現金</t>
    <rPh sb="0" eb="2">
      <t>ゲンキン</t>
    </rPh>
    <phoneticPr fontId="6"/>
  </si>
  <si>
    <t>ボーナス受取</t>
    <rPh sb="4" eb="6">
      <t>ウケトリ</t>
    </rPh>
    <phoneticPr fontId="6"/>
  </si>
  <si>
    <t>受取ボーナス</t>
    <rPh sb="0" eb="2">
      <t>ウケトリ</t>
    </rPh>
    <phoneticPr fontId="6"/>
  </si>
  <si>
    <t>経営者報酬支払</t>
    <rPh sb="0" eb="3">
      <t>ケイエイシャ</t>
    </rPh>
    <rPh sb="3" eb="5">
      <t>ホウシュウ</t>
    </rPh>
    <rPh sb="5" eb="7">
      <t>シハライ</t>
    </rPh>
    <phoneticPr fontId="6"/>
  </si>
  <si>
    <t>未払い経営者報酬</t>
    <rPh sb="0" eb="2">
      <t>ミバラ</t>
    </rPh>
    <rPh sb="3" eb="6">
      <t>ケイエイシャ</t>
    </rPh>
    <rPh sb="6" eb="8">
      <t>ホウシュウ</t>
    </rPh>
    <phoneticPr fontId="6"/>
  </si>
  <si>
    <t>経営者報酬予算金</t>
    <rPh sb="0" eb="3">
      <t>ケイエイシャ</t>
    </rPh>
    <rPh sb="3" eb="5">
      <t>ホウシュウ</t>
    </rPh>
    <rPh sb="5" eb="7">
      <t>ヨサン</t>
    </rPh>
    <rPh sb="7" eb="8">
      <t>キン</t>
    </rPh>
    <phoneticPr fontId="6"/>
  </si>
  <si>
    <t>経営者報酬受け取り</t>
    <rPh sb="0" eb="3">
      <t>ケイエイシャ</t>
    </rPh>
    <rPh sb="3" eb="5">
      <t>ホウシュウ</t>
    </rPh>
    <rPh sb="5" eb="6">
      <t>ウ</t>
    </rPh>
    <rPh sb="7" eb="8">
      <t>ト</t>
    </rPh>
    <phoneticPr fontId="6"/>
  </si>
  <si>
    <t>受取経営者報酬</t>
    <rPh sb="0" eb="2">
      <t>ウケトリ</t>
    </rPh>
    <rPh sb="2" eb="5">
      <t>ケイエイシャ</t>
    </rPh>
    <rPh sb="5" eb="7">
      <t>ホウシュウ</t>
    </rPh>
    <phoneticPr fontId="6"/>
  </si>
  <si>
    <t>政府系</t>
    <rPh sb="0" eb="3">
      <t>セイフケイ</t>
    </rPh>
    <phoneticPr fontId="6"/>
  </si>
  <si>
    <t>企業補助金支払い</t>
    <rPh sb="0" eb="2">
      <t>キギョウ</t>
    </rPh>
    <rPh sb="2" eb="4">
      <t>ホジョ</t>
    </rPh>
    <rPh sb="4" eb="5">
      <t>キン</t>
    </rPh>
    <rPh sb="5" eb="7">
      <t>シハラ</t>
    </rPh>
    <phoneticPr fontId="6"/>
  </si>
  <si>
    <t>失業補償支払い</t>
    <rPh sb="0" eb="2">
      <t>シツギョウ</t>
    </rPh>
    <rPh sb="2" eb="4">
      <t>ホショウ</t>
    </rPh>
    <rPh sb="4" eb="6">
      <t>シハラ</t>
    </rPh>
    <phoneticPr fontId="6"/>
  </si>
  <si>
    <t>失業補償</t>
    <rPh sb="0" eb="2">
      <t>シツギョウ</t>
    </rPh>
    <rPh sb="2" eb="4">
      <t>ホショウ</t>
    </rPh>
    <phoneticPr fontId="6"/>
  </si>
  <si>
    <t>失業補償支払</t>
    <rPh sb="0" eb="2">
      <t>シツギョウ</t>
    </rPh>
    <rPh sb="2" eb="4">
      <t>ホショウ</t>
    </rPh>
    <rPh sb="4" eb="6">
      <t>シハライ</t>
    </rPh>
    <phoneticPr fontId="6"/>
  </si>
  <si>
    <t>失業補償受取</t>
    <rPh sb="0" eb="2">
      <t>シツギョウ</t>
    </rPh>
    <rPh sb="2" eb="4">
      <t>ホショウ</t>
    </rPh>
    <rPh sb="4" eb="6">
      <t>ウケトリ</t>
    </rPh>
    <phoneticPr fontId="6"/>
  </si>
  <si>
    <t>受取失業補償</t>
    <rPh sb="0" eb="2">
      <t>ウケトリ</t>
    </rPh>
    <rPh sb="2" eb="4">
      <t>シツギョウ</t>
    </rPh>
    <rPh sb="4" eb="6">
      <t>ホショウ</t>
    </rPh>
    <phoneticPr fontId="6"/>
  </si>
  <si>
    <t>BI支払い</t>
    <rPh sb="2" eb="4">
      <t>シハラ</t>
    </rPh>
    <phoneticPr fontId="6"/>
  </si>
  <si>
    <t>BI</t>
    <phoneticPr fontId="6"/>
  </si>
  <si>
    <t>BI支払</t>
    <rPh sb="2" eb="4">
      <t>シハラ</t>
    </rPh>
    <phoneticPr fontId="6"/>
  </si>
  <si>
    <t>BI受取</t>
    <rPh sb="2" eb="4">
      <t>ウケトリ</t>
    </rPh>
    <phoneticPr fontId="6"/>
  </si>
  <si>
    <t>受取BI</t>
    <phoneticPr fontId="6"/>
  </si>
  <si>
    <t>法人税支払い</t>
    <rPh sb="0" eb="3">
      <t>ホウジンゼイ</t>
    </rPh>
    <rPh sb="3" eb="5">
      <t>シハラ</t>
    </rPh>
    <phoneticPr fontId="6"/>
  </si>
  <si>
    <t>未払い法人税</t>
    <rPh sb="0" eb="2">
      <t>ミバラ</t>
    </rPh>
    <rPh sb="3" eb="6">
      <t>ホウジンゼイ</t>
    </rPh>
    <phoneticPr fontId="6"/>
  </si>
  <si>
    <t>未払い法人税支払</t>
    <rPh sb="0" eb="2">
      <t>ミバラ</t>
    </rPh>
    <rPh sb="3" eb="6">
      <t>ホウジンゼイ</t>
    </rPh>
    <rPh sb="6" eb="8">
      <t>シハライ</t>
    </rPh>
    <phoneticPr fontId="6"/>
  </si>
  <si>
    <t>法人税受取</t>
    <rPh sb="0" eb="3">
      <t>ホウジンゼイ</t>
    </rPh>
    <rPh sb="3" eb="5">
      <t>ウケトリ</t>
    </rPh>
    <phoneticPr fontId="6"/>
  </si>
  <si>
    <t>受取法人税</t>
    <rPh sb="0" eb="2">
      <t>ウケトリ</t>
    </rPh>
    <rPh sb="2" eb="5">
      <t>ホウジンゼイ</t>
    </rPh>
    <phoneticPr fontId="6"/>
  </si>
  <si>
    <t>所得税支払</t>
    <rPh sb="0" eb="3">
      <t>ショトクゼイ</t>
    </rPh>
    <rPh sb="3" eb="5">
      <t>シハライ</t>
    </rPh>
    <phoneticPr fontId="6"/>
  </si>
  <si>
    <t>未払い所得税</t>
    <rPh sb="0" eb="2">
      <t>ミバラ</t>
    </rPh>
    <rPh sb="3" eb="6">
      <t>ショトクゼイ</t>
    </rPh>
    <phoneticPr fontId="6"/>
  </si>
  <si>
    <t>未払い所得税支払</t>
    <rPh sb="0" eb="2">
      <t>ミバラ</t>
    </rPh>
    <rPh sb="3" eb="6">
      <t>ショトクゼイ</t>
    </rPh>
    <rPh sb="6" eb="8">
      <t>シハライ</t>
    </rPh>
    <phoneticPr fontId="6"/>
  </si>
  <si>
    <t>所得税受取</t>
    <rPh sb="0" eb="3">
      <t>ショトクゼイ</t>
    </rPh>
    <rPh sb="3" eb="5">
      <t>ウケトリ</t>
    </rPh>
    <phoneticPr fontId="6"/>
  </si>
  <si>
    <t>受取所得税</t>
    <rPh sb="0" eb="2">
      <t>ウケトリ</t>
    </rPh>
    <rPh sb="2" eb="5">
      <t>ショトクゼイ</t>
    </rPh>
    <phoneticPr fontId="6"/>
  </si>
  <si>
    <t>消費税支払</t>
    <rPh sb="0" eb="3">
      <t>ショウヒゼイ</t>
    </rPh>
    <rPh sb="3" eb="5">
      <t>シハライ</t>
    </rPh>
    <phoneticPr fontId="6"/>
  </si>
  <si>
    <t>未払い消費税</t>
    <rPh sb="0" eb="2">
      <t>ミバラ</t>
    </rPh>
    <rPh sb="3" eb="6">
      <t>ショウヒゼイ</t>
    </rPh>
    <phoneticPr fontId="6"/>
  </si>
  <si>
    <t>未払い消費税支払</t>
    <rPh sb="0" eb="2">
      <t>ミバラ</t>
    </rPh>
    <rPh sb="3" eb="6">
      <t>ショウヒゼイ</t>
    </rPh>
    <rPh sb="6" eb="8">
      <t>シハライ</t>
    </rPh>
    <phoneticPr fontId="6"/>
  </si>
  <si>
    <t>消費税受取</t>
    <rPh sb="0" eb="3">
      <t>ショウヒゼイ</t>
    </rPh>
    <rPh sb="3" eb="5">
      <t>ウケトリ</t>
    </rPh>
    <phoneticPr fontId="6"/>
  </si>
  <si>
    <t>受取消費税</t>
    <rPh sb="0" eb="2">
      <t>ウケトリ</t>
    </rPh>
    <rPh sb="2" eb="5">
      <t>ショウヒゼイ</t>
    </rPh>
    <phoneticPr fontId="6"/>
  </si>
  <si>
    <t>借入返済系</t>
    <rPh sb="0" eb="2">
      <t>カリイレ</t>
    </rPh>
    <rPh sb="2" eb="4">
      <t>ヘンサイ</t>
    </rPh>
    <rPh sb="4" eb="5">
      <t>ケイ</t>
    </rPh>
    <phoneticPr fontId="6"/>
  </si>
  <si>
    <t>長期借入計上</t>
    <rPh sb="0" eb="2">
      <t>チョウキ</t>
    </rPh>
    <rPh sb="2" eb="4">
      <t>カリイレ</t>
    </rPh>
    <rPh sb="4" eb="6">
      <t>ケイジョウ</t>
    </rPh>
    <phoneticPr fontId="6"/>
  </si>
  <si>
    <t>長期現金貸出</t>
    <rPh sb="0" eb="2">
      <t>チョウキ</t>
    </rPh>
    <phoneticPr fontId="6"/>
  </si>
  <si>
    <t>短期借入計上</t>
    <rPh sb="0" eb="2">
      <t>タンキ</t>
    </rPh>
    <rPh sb="2" eb="4">
      <t>カリイレ</t>
    </rPh>
    <rPh sb="4" eb="6">
      <t>ケイジョウ</t>
    </rPh>
    <phoneticPr fontId="6"/>
  </si>
  <si>
    <t>短期借入</t>
    <phoneticPr fontId="6"/>
  </si>
  <si>
    <t>短期借入金</t>
    <phoneticPr fontId="6"/>
  </si>
  <si>
    <t>短期現金貸出</t>
    <rPh sb="0" eb="2">
      <t>タンキ</t>
    </rPh>
    <phoneticPr fontId="6"/>
  </si>
  <si>
    <t>利息支払</t>
    <rPh sb="0" eb="2">
      <t>リソク</t>
    </rPh>
    <rPh sb="2" eb="4">
      <t>シハラ</t>
    </rPh>
    <phoneticPr fontId="6"/>
  </si>
  <si>
    <t>長期借入返済</t>
    <rPh sb="0" eb="2">
      <t>チョウキ</t>
    </rPh>
    <rPh sb="2" eb="4">
      <t>カリイレ</t>
    </rPh>
    <rPh sb="4" eb="6">
      <t>ヘンサイ</t>
    </rPh>
    <phoneticPr fontId="6"/>
  </si>
  <si>
    <t>長期返済金受け取り</t>
    <rPh sb="0" eb="2">
      <t>チョウキ</t>
    </rPh>
    <phoneticPr fontId="6"/>
  </si>
  <si>
    <t>短期借入返済</t>
    <rPh sb="0" eb="2">
      <t>タンキ</t>
    </rPh>
    <rPh sb="2" eb="4">
      <t>カリイレ</t>
    </rPh>
    <rPh sb="4" eb="6">
      <t>ヘンサイ</t>
    </rPh>
    <phoneticPr fontId="6"/>
  </si>
  <si>
    <t>短期返済金受け取り</t>
    <rPh sb="0" eb="2">
      <t>タンキ</t>
    </rPh>
    <phoneticPr fontId="6"/>
  </si>
  <si>
    <t>預貯金系</t>
    <rPh sb="0" eb="3">
      <t>ヨチョキン</t>
    </rPh>
    <rPh sb="3" eb="4">
      <t>ケイ</t>
    </rPh>
    <phoneticPr fontId="6"/>
  </si>
  <si>
    <t>預金預入</t>
    <rPh sb="0" eb="2">
      <t>ヨキン</t>
    </rPh>
    <rPh sb="2" eb="4">
      <t>アズケイレ</t>
    </rPh>
    <phoneticPr fontId="6"/>
  </si>
  <si>
    <t>C, R, W, E, B</t>
    <phoneticPr fontId="6"/>
  </si>
  <si>
    <t>預金引出</t>
    <rPh sb="0" eb="2">
      <t>ヨキン</t>
    </rPh>
    <rPh sb="2" eb="4">
      <t>ヒキダシ</t>
    </rPh>
    <phoneticPr fontId="6"/>
  </si>
  <si>
    <t>預金</t>
    <rPh sb="0" eb="2">
      <t>ヨキン</t>
    </rPh>
    <phoneticPr fontId="6"/>
  </si>
  <si>
    <t>預かり預金</t>
    <rPh sb="0" eb="1">
      <t>アズ</t>
    </rPh>
    <rPh sb="3" eb="5">
      <t>ヨキン</t>
    </rPh>
    <phoneticPr fontId="6"/>
  </si>
  <si>
    <t>預金利息支払</t>
    <rPh sb="0" eb="2">
      <t>ヨキン</t>
    </rPh>
    <rPh sb="2" eb="4">
      <t>リソク</t>
    </rPh>
    <rPh sb="4" eb="6">
      <t>シハラ</t>
    </rPh>
    <phoneticPr fontId="6"/>
  </si>
  <si>
    <t>預金利息支払</t>
    <phoneticPr fontId="6"/>
  </si>
  <si>
    <t>これ以降、購買系のため特殊処理、対応表は右側</t>
    <rPh sb="2" eb="4">
      <t>イコウ</t>
    </rPh>
    <rPh sb="5" eb="7">
      <t>コウバイ</t>
    </rPh>
    <rPh sb="7" eb="8">
      <t>ケイ</t>
    </rPh>
    <rPh sb="11" eb="13">
      <t>トクシュ</t>
    </rPh>
    <rPh sb="13" eb="15">
      <t>ショリ</t>
    </rPh>
    <rPh sb="16" eb="18">
      <t>タイオウ</t>
    </rPh>
    <rPh sb="18" eb="19">
      <t>ヒョウ</t>
    </rPh>
    <rPh sb="20" eb="22">
      <t>ミギガワ</t>
    </rPh>
    <phoneticPr fontId="6"/>
  </si>
  <si>
    <t>原料購買系</t>
    <rPh sb="0" eb="2">
      <t>ゲンリョウ</t>
    </rPh>
    <rPh sb="2" eb="4">
      <t>コウバイ</t>
    </rPh>
    <rPh sb="4" eb="5">
      <t>ケイ</t>
    </rPh>
    <phoneticPr fontId="6"/>
  </si>
  <si>
    <t>原料購買</t>
    <rPh sb="0" eb="2">
      <t>ゲンリョウ</t>
    </rPh>
    <rPh sb="2" eb="4">
      <t>コウバイ</t>
    </rPh>
    <phoneticPr fontId="6"/>
  </si>
  <si>
    <t>原料購買_R</t>
  </si>
  <si>
    <t>製品販売_R_原料</t>
  </si>
  <si>
    <t>RtoR原料購買</t>
    <rPh sb="4" eb="6">
      <t>ゲンリョウ</t>
    </rPh>
    <rPh sb="6" eb="8">
      <t>コウバイ</t>
    </rPh>
    <phoneticPr fontId="6"/>
  </si>
  <si>
    <t>原料購買_W</t>
  </si>
  <si>
    <t>製品売上_R_原料</t>
  </si>
  <si>
    <t>RtoW原料購買</t>
    <rPh sb="4" eb="6">
      <t>ゲンリョウ</t>
    </rPh>
    <rPh sb="6" eb="8">
      <t>コウバイ</t>
    </rPh>
    <phoneticPr fontId="6"/>
  </si>
  <si>
    <t>原料購買_E</t>
  </si>
  <si>
    <t>製品販売_W_原料</t>
  </si>
  <si>
    <t>RtoE原料購買</t>
    <rPh sb="4" eb="6">
      <t>ゲンリョウ</t>
    </rPh>
    <rPh sb="6" eb="8">
      <t>コウバイ</t>
    </rPh>
    <phoneticPr fontId="6"/>
  </si>
  <si>
    <t>製品売上_W_原料</t>
  </si>
  <si>
    <t>WtoR原料購買</t>
  </si>
  <si>
    <t>↑それぞれごとに対応する相手方の辞書が必要</t>
    <rPh sb="8" eb="10">
      <t>タイオウ</t>
    </rPh>
    <rPh sb="12" eb="14">
      <t>アイテ</t>
    </rPh>
    <rPh sb="14" eb="15">
      <t>カタ</t>
    </rPh>
    <rPh sb="16" eb="18">
      <t>ジショ</t>
    </rPh>
    <rPh sb="19" eb="21">
      <t>ヒツヨウ</t>
    </rPh>
    <phoneticPr fontId="6"/>
  </si>
  <si>
    <t>製品販売_E_原料</t>
  </si>
  <si>
    <t>WtoW原料購買</t>
  </si>
  <si>
    <t>製品売上_E_原料</t>
  </si>
  <si>
    <t>WtoE原料購買</t>
  </si>
  <si>
    <t>製品販売_B_原料</t>
  </si>
  <si>
    <t>EtoR原料購買</t>
  </si>
  <si>
    <t>製品売上_B_原料</t>
  </si>
  <si>
    <t>EtoW原料購買</t>
  </si>
  <si>
    <t>EtoE原料購買</t>
  </si>
  <si>
    <t>消耗品購買系</t>
    <rPh sb="0" eb="2">
      <t>ショウモウ</t>
    </rPh>
    <rPh sb="2" eb="3">
      <t>ヒン</t>
    </rPh>
    <rPh sb="3" eb="5">
      <t>コウバイ</t>
    </rPh>
    <rPh sb="5" eb="6">
      <t>ケイ</t>
    </rPh>
    <phoneticPr fontId="6"/>
  </si>
  <si>
    <t>BtoR原料購買</t>
  </si>
  <si>
    <t>消耗品購買予算金</t>
    <rPh sb="0" eb="2">
      <t>ショウモウ</t>
    </rPh>
    <rPh sb="2" eb="3">
      <t>ヒン</t>
    </rPh>
    <rPh sb="3" eb="5">
      <t>コウバイ</t>
    </rPh>
    <rPh sb="5" eb="7">
      <t>ヨサン</t>
    </rPh>
    <rPh sb="7" eb="8">
      <t>キン</t>
    </rPh>
    <phoneticPr fontId="6"/>
  </si>
  <si>
    <t>C, R, W, E, B, G</t>
  </si>
  <si>
    <t>BtoW原料購買</t>
  </si>
  <si>
    <t>消耗品_W</t>
  </si>
  <si>
    <t>消耗品購買_W</t>
  </si>
  <si>
    <t>BtoE原料購買</t>
  </si>
  <si>
    <t>消耗品_E</t>
  </si>
  <si>
    <t>消耗品購買_E</t>
  </si>
  <si>
    <t>製品販売_R_消耗品</t>
  </si>
  <si>
    <t>消耗品_B</t>
  </si>
  <si>
    <t>消耗品購買_B</t>
  </si>
  <si>
    <t>製品売上_R_消耗品</t>
  </si>
  <si>
    <t>製品販売_W_消耗品</t>
  </si>
  <si>
    <t>製品売上_W_消耗品</t>
  </si>
  <si>
    <t>GtoR消耗品購買</t>
    <rPh sb="4" eb="6">
      <t>ショウモウ</t>
    </rPh>
    <rPh sb="6" eb="7">
      <t>ヒン</t>
    </rPh>
    <rPh sb="7" eb="9">
      <t>コウバイ</t>
    </rPh>
    <phoneticPr fontId="6"/>
  </si>
  <si>
    <t>製品販売_E_消耗品</t>
  </si>
  <si>
    <t>GtoW消耗品購買</t>
    <rPh sb="4" eb="6">
      <t>ショウモウ</t>
    </rPh>
    <rPh sb="6" eb="7">
      <t>ヒン</t>
    </rPh>
    <rPh sb="7" eb="9">
      <t>コウバイ</t>
    </rPh>
    <phoneticPr fontId="6"/>
  </si>
  <si>
    <t>製品売上_E_消耗品</t>
  </si>
  <si>
    <t>GtoE消耗品購買</t>
    <rPh sb="4" eb="6">
      <t>ショウモウ</t>
    </rPh>
    <rPh sb="6" eb="7">
      <t>ヒン</t>
    </rPh>
    <rPh sb="7" eb="9">
      <t>コウバイ</t>
    </rPh>
    <phoneticPr fontId="6"/>
  </si>
  <si>
    <t>製品販売_B_消耗品</t>
  </si>
  <si>
    <t>GtoB消耗品購買</t>
    <rPh sb="4" eb="6">
      <t>ショウモウ</t>
    </rPh>
    <rPh sb="6" eb="7">
      <t>ヒン</t>
    </rPh>
    <rPh sb="7" eb="9">
      <t>コウバイ</t>
    </rPh>
    <phoneticPr fontId="6"/>
  </si>
  <si>
    <t>製品売上_B_消耗品</t>
  </si>
  <si>
    <t>CtoW消耗品購買</t>
  </si>
  <si>
    <t>CtoE消耗品購買</t>
  </si>
  <si>
    <t>CtoB消耗品購買</t>
  </si>
  <si>
    <t>RtoR消耗品購買</t>
  </si>
  <si>
    <t>RtoW消耗品購買</t>
  </si>
  <si>
    <t>RtoE消耗品購買</t>
  </si>
  <si>
    <t>RtoB消耗品購買</t>
  </si>
  <si>
    <t>資本購買系</t>
    <rPh sb="0" eb="2">
      <t>シホン</t>
    </rPh>
    <rPh sb="2" eb="4">
      <t>コウバイ</t>
    </rPh>
    <rPh sb="4" eb="5">
      <t>ケイ</t>
    </rPh>
    <phoneticPr fontId="6"/>
  </si>
  <si>
    <t>WtoR消耗品購買</t>
  </si>
  <si>
    <t>資本購買_R</t>
  </si>
  <si>
    <t>製品販売_C_資本</t>
  </si>
  <si>
    <t>WtoW消耗品購買</t>
  </si>
  <si>
    <t>資本_W</t>
    <phoneticPr fontId="6"/>
  </si>
  <si>
    <t>資本購買_W</t>
  </si>
  <si>
    <t>製品売上_C_資本</t>
  </si>
  <si>
    <t>WtoE消耗品購買</t>
  </si>
  <si>
    <t>資本購買_E</t>
  </si>
  <si>
    <t>製品販売_R_資本</t>
  </si>
  <si>
    <t>WtoB消耗品購買</t>
  </si>
  <si>
    <t>資本購買_B</t>
  </si>
  <si>
    <t>製品売上_R_資本</t>
  </si>
  <si>
    <t>EtoR消耗品購買</t>
  </si>
  <si>
    <t>製品販売_W_資本</t>
  </si>
  <si>
    <t>EtoW消耗品購買</t>
  </si>
  <si>
    <t>製品売上_W_資本</t>
  </si>
  <si>
    <t>EtoE消耗品購買</t>
  </si>
  <si>
    <t>製品販売_E_資本</t>
  </si>
  <si>
    <t>EtoB消耗品購買</t>
  </si>
  <si>
    <t>製品売上_E_資本</t>
  </si>
  <si>
    <t>BtoR消耗品購買</t>
  </si>
  <si>
    <t>製品販売_B_資本</t>
  </si>
  <si>
    <t>BtoW消耗品購買</t>
  </si>
  <si>
    <t>製品売上_B_資本</t>
  </si>
  <si>
    <t>BtoE消耗品購買</t>
  </si>
  <si>
    <t>製品販売_G_資本</t>
  </si>
  <si>
    <t>BtoB消耗品購買</t>
  </si>
  <si>
    <t>製品売上_G_資本</t>
  </si>
  <si>
    <t>GtoR資本購買</t>
  </si>
  <si>
    <t>GtoW資本購買</t>
  </si>
  <si>
    <t>GtoE資本購買</t>
  </si>
  <si>
    <t>GtoB資本購買</t>
  </si>
  <si>
    <t>CtoR資本購買</t>
  </si>
  <si>
    <t>CtoW資本購買</t>
  </si>
  <si>
    <t>CtoE資本購買</t>
  </si>
  <si>
    <t>CtoB資本購買</t>
  </si>
  <si>
    <t>RtoR資本購買</t>
  </si>
  <si>
    <t>RtoW資本購買</t>
  </si>
  <si>
    <t>RtoE資本購買</t>
  </si>
  <si>
    <t>RtoB資本購買</t>
  </si>
  <si>
    <t>WtoR資本購買</t>
  </si>
  <si>
    <t>WtoW資本購買</t>
  </si>
  <si>
    <t>WtoE資本購買</t>
  </si>
  <si>
    <t>WtoB資本購買</t>
  </si>
  <si>
    <t>EtoR資本購買</t>
  </si>
  <si>
    <t>EtoW資本購買</t>
  </si>
  <si>
    <t>EtoE資本購買</t>
  </si>
  <si>
    <t>EtoB資本購買</t>
  </si>
  <si>
    <t>BtoR資本購買</t>
  </si>
  <si>
    <t>BtoW資本購買</t>
  </si>
  <si>
    <t>BtoE資本購買</t>
  </si>
  <si>
    <t>BtoB資本購買</t>
  </si>
  <si>
    <t>JournalTable with AgentNo</t>
    <phoneticPr fontId="1"/>
  </si>
  <si>
    <t>Journal table at duplicate integration</t>
    <phoneticPr fontId="1"/>
  </si>
  <si>
    <t xml:space="preserve">Write the journal entry relationship resulting from the actions of the two agents into the FirstARtable. Practically design financial transactions and interrelationships between agents at this location.
・The left side of the table is where the journal entries are written for agents that actively act when some accounting transaction occurs
・The right side of the table is where the journal entries of the agent in the passive position are written when accounting occurs due to the actions of other Agents
・The SendID can be selected from the AgentID registered on the AgentSector sheet.
・When SendID is selected, the name of the sender (actively agent) is automatically displayed.
・The account type and account name of the debit, the abstract, and the account name and account type of the credit are described according to the design.
・The account names named here will be used as financial status variables in the program in the future.
・If only active agent actions, such as transferring assets or recording depreciation, are complete, the right side of the table should be left blank.
・If two passive journal entries occur, the passive journal entry should be written on two lines.In this case, the Sender side should enter the journal entry on the first line and leave the second line blank.
</t>
    <phoneticPr fontId="1"/>
  </si>
  <si>
    <t>Click on "First__NumberingAR__ID" on the FirstARtable sheet
・The accounting relations in FirstARtable are copied to the IDARtable sheet. At this time, each accounting relation is automatically assigned an ID(ARID), and each journal entry is also automatically assigned an ID(SentenceID).
・The ARID begins with 1xxx to maintain four digits. The first digit is usually assigned the number "1", and if more than one passive journal entry occurs in a single active action, the sequential numbers "2" and "3" are assigned.
　Ex)　Purchase of consumables
　　　　At the time of purchase　　
　　　　　　　Agent's active journal entry + passive Agent's costing journal entry　⇒　1621
　　　　　　　　　　　　　　　　　　　　  passive Agent Product Sales Journal　⇒　1622
　　　　The ARID of the accounting association with these two or more lines of journal entries will be treated 
               as its ID with the last digit of 1 when the program is finally loaded into the program
・SentenceID is the ID of the journal entry that constitutes the accounting relationship associated with the ARID.
The upper four digits are common to the ARID, and the lower two digits indicate the active and passive relationship.</t>
    <phoneticPr fontId="1"/>
  </si>
  <si>
    <t>Click on "Second__journaltable" on the IDARtable sheet
・Retrieve all active and passive journal entries and arrange the list on the Journaltable sheet.
・The Journaltable sheet has two areas on the left side, "JournalTable with AgentNo" and "Journal table at duplicate integration," with only the left side initially filled.
・The "left side" lists all journal entries arising from the accounting-related tables, which will later become the table used to check the relationship between journal entries for each agent.
・The right side of the table will be a table of journal entries from the table on the left, eliminating data with duplicate debits and credits and abstracts. This table will be a CSV file to be loaded into the program.</t>
    <phoneticPr fontId="1"/>
  </si>
  <si>
    <t>Click the "Third__Overlap Checker" button on the Journaltable
・SentenceIDs with duplicate contents (column 1), journal entries with duplicate contents (columns 3-8), and subjects with the same subject name but different subject types (columns 10-13) are output on the SentenceID_OV sheet.
・Duplicate SentenceID check detects if the exact same ID is assigned to each journal entry in the Journaltable and displays duplicate IDs (if the same ID is assigned but the journal entries are different, it is a design error and must be corrected).
・To check for journal entries with duplicate contents, "ID appearing first," "debit first," "abstract first," "credit first," "ID appearing later (judged as duplicate)," "debit later," "abstract later," and "credit later" are output. If the journal entries are exactly the same, there is no need to assign separate journal codes, so duplicates are deleted in the next step 6.
・The same subject name but different subject type(columns 10-13) is detected when there are different subject types with the same name (e.g., asset type "cash" and liability type "cash") in each journal entry. Basically, it is thought that this is due to a mistake in setting the subject type when designing FirstARtable, so it is necessary to go back to step 1 to correct the error and perform the procedure up to step 4 again.
　Also, if it were not an error, variables that work differently in the system would have the same name. Since this situation is not considered healthy, it is better to correct either subject name. In this case, it is still necessary to go back to step 1 and redo all the steps.</t>
    <phoneticPr fontId="1"/>
  </si>
  <si>
    <t>Duplicate ID</t>
    <phoneticPr fontId="1"/>
  </si>
  <si>
    <t>Changed ID</t>
    <phoneticPr fontId="1"/>
  </si>
  <si>
    <t>After confirming the duplicate journal entries, enter the ID to change the duplicate ID in line 20 (basically the ID in column 7) and the changed ID in line 21 (basically the ID in column 3), and click the "ReNumbering" button.
・SentenceID in IDARtable that matches DuplicateID is replaced by ChengedID.
・また、Journaltableシートの "JournalTable with AgentNo "は、変更後のIDARtableを元に更新されます。</t>
    <phoneticPr fontId="1"/>
  </si>
  <si>
    <t>Click the "ReJournal" button on the SentenceID_OV sheet.
・A "Journal table at duplicate integration" is generated, eliminating duplicate journal entries after column 15 of the Jounaltable.
・In addition, a duplicate check (Third__Overlap Checker) is performed using "Journal table at duplicate integration".At this time, SentenceID__OV is updated.
Basically, I recommend reviewing the accounting related tables and checking for deduplication until nothing appears in SentenceID__OV</t>
    <phoneticPr fontId="1"/>
  </si>
  <si>
    <t>Click the Forurth__SubjectTableCreate button on the Journaltable.
・A list (SubjectTable, SubjectTtype, SubjectTAg) is generated showing who has which accounting subject for each agent type
・SubjectTable is a list of who needs to hold which accounting subject for each agent
・SubjectTType is a list of what accounts exist in the system in five categories: assets, liabilities, equity, expenses, and revenues
・SubjectTAg lists which accounts are present in assets, liabilities, equity, expenses, and revenues for each agent</t>
    <phoneticPr fontId="1"/>
  </si>
  <si>
    <t>Click CSVCreate button on CSV_Create sheet
・A CSV sheet that can be read by the simulation program is automatically generated at the location where the file exists.</t>
    <phoneticPr fontId="1"/>
  </si>
  <si>
    <t>Cash</t>
  </si>
  <si>
    <t>Cash</t>
    <phoneticPr fontId="1"/>
  </si>
  <si>
    <t>Agent</t>
  </si>
  <si>
    <t>Household</t>
  </si>
  <si>
    <t>Household</t>
    <phoneticPr fontId="1"/>
  </si>
  <si>
    <t>Firm</t>
  </si>
  <si>
    <t>Firm</t>
    <phoneticPr fontId="1"/>
  </si>
  <si>
    <t>Bank</t>
  </si>
  <si>
    <t>Bank</t>
    <phoneticPr fontId="1"/>
  </si>
  <si>
    <t>Employer</t>
  </si>
  <si>
    <t>Employer</t>
    <phoneticPr fontId="1"/>
  </si>
  <si>
    <t>Government</t>
  </si>
  <si>
    <t>Government</t>
    <phoneticPr fontId="1"/>
  </si>
  <si>
    <t>BudgetMoneyConsumables</t>
  </si>
  <si>
    <t>BudgetMoneyConsumables</t>
    <phoneticPr fontId="1"/>
  </si>
  <si>
    <t>InitialAssetDeployment</t>
  </si>
  <si>
    <t>InitialAssetDeployment</t>
    <phoneticPr fontId="1"/>
  </si>
  <si>
    <t>Capital</t>
  </si>
  <si>
    <t>Capital</t>
    <phoneticPr fontId="1"/>
  </si>
  <si>
    <t>SuppliesPurchasingBudget_Transfer</t>
  </si>
  <si>
    <t>BonusBudget</t>
  </si>
  <si>
    <t>BonusBudget</t>
    <phoneticPr fontId="1"/>
  </si>
  <si>
    <t>SuppliesPurchasingBudgetTransfer</t>
  </si>
  <si>
    <t>SuppliesPurchasingBudgetTransfer</t>
    <phoneticPr fontId="1"/>
  </si>
  <si>
    <t>BonusBudgetTotal</t>
  </si>
  <si>
    <t>BonusBudgetTotal</t>
    <phoneticPr fontId="1"/>
  </si>
  <si>
    <t>LoanRepaymentBudget</t>
  </si>
  <si>
    <t>LoanRepaymentBudget</t>
    <phoneticPr fontId="1"/>
  </si>
  <si>
    <t>FixedSalaryBudgeting</t>
  </si>
  <si>
    <t>FixedSalaryBudgeting</t>
    <phoneticPr fontId="1"/>
  </si>
  <si>
    <t>SuppliesPurchasingBudgeting</t>
  </si>
  <si>
    <t>SuppliesPurchasingBudgeting</t>
    <phoneticPr fontId="1"/>
  </si>
  <si>
    <t>LoanRepaymentBudgeting</t>
  </si>
  <si>
    <t>LoanRepaymentBudgeting</t>
    <phoneticPr fontId="1"/>
  </si>
  <si>
    <t>InterestExpenseBudget</t>
  </si>
  <si>
    <t>InterestExpenseBudget</t>
    <phoneticPr fontId="1"/>
  </si>
  <si>
    <t>InterestExpenseBudgeting</t>
  </si>
  <si>
    <t>InterestExpenseBudgeting</t>
    <phoneticPr fontId="1"/>
  </si>
  <si>
    <t>PurchasingBudget</t>
  </si>
  <si>
    <t>PurchasingBudget</t>
    <phoneticPr fontId="1"/>
  </si>
  <si>
    <t>PurchasingBudgeting</t>
  </si>
  <si>
    <t>PurchasingBudgeting</t>
    <phoneticPr fontId="1"/>
  </si>
  <si>
    <t>CorporateSubsidiesBudget</t>
  </si>
  <si>
    <t>CorporateSubsidiesBudget</t>
    <phoneticPr fontId="1"/>
  </si>
  <si>
    <t>CorporateSubsidiesBudgeting</t>
  </si>
  <si>
    <t>CorporateSubsidiesBudgeting</t>
    <phoneticPr fontId="1"/>
  </si>
  <si>
    <t>TaxingBudgeting</t>
  </si>
  <si>
    <t>TaxingBudgeting</t>
    <phoneticPr fontId="1"/>
  </si>
  <si>
    <t>SuppliesPurchasingBudgeting_G</t>
  </si>
  <si>
    <t>SuppliesPurchasingBudgeting_G</t>
    <phoneticPr fontId="1"/>
  </si>
  <si>
    <t>FixedSalaries</t>
  </si>
  <si>
    <t>FixedSalaries</t>
    <phoneticPr fontId="1"/>
  </si>
  <si>
    <t>AccruedFixedSalaries</t>
  </si>
  <si>
    <t>AccruedFixedSalaries</t>
    <phoneticPr fontId="1"/>
  </si>
  <si>
    <t>AccruedFixedSalaries_accounted</t>
  </si>
  <si>
    <t>AccruedFixedSalaries_accounted</t>
    <phoneticPr fontId="1"/>
  </si>
  <si>
    <t>ProductionInputCost</t>
  </si>
  <si>
    <t>ProductionInputCost</t>
    <phoneticPr fontId="1"/>
  </si>
  <si>
    <t>ProductionInputCost_Transfer</t>
  </si>
  <si>
    <t>ProductionInputCost_Transfer</t>
    <phoneticPr fontId="1"/>
  </si>
  <si>
    <t>Products</t>
  </si>
  <si>
    <t>Products</t>
    <phoneticPr fontId="1"/>
  </si>
  <si>
    <t>ProductProduction</t>
  </si>
  <si>
    <t>ProductProduction</t>
    <phoneticPr fontId="1"/>
  </si>
  <si>
    <t>FixedSalaryPayment</t>
  </si>
  <si>
    <t>FixedSalaryPayment</t>
    <phoneticPr fontId="1"/>
  </si>
  <si>
    <t>FixedSalaryBudget</t>
  </si>
  <si>
    <t>FixedSalaryBudget</t>
    <phoneticPr fontId="1"/>
  </si>
  <si>
    <t>BonusPayment</t>
  </si>
  <si>
    <t>BonusPayment</t>
    <phoneticPr fontId="1"/>
  </si>
  <si>
    <t>FixedSalaryReceived</t>
  </si>
  <si>
    <t>FixedSalaryReceived</t>
    <phoneticPr fontId="1"/>
  </si>
  <si>
    <t>ReceivedFixedSalary</t>
  </si>
  <si>
    <t>ReceivedFixedSalary</t>
    <phoneticPr fontId="1"/>
  </si>
  <si>
    <t>BonusReceived</t>
  </si>
  <si>
    <t>BonusReceived</t>
    <phoneticPr fontId="1"/>
  </si>
  <si>
    <t>ReceivedBonuses</t>
  </si>
  <si>
    <t>ReceivedBonuses</t>
    <phoneticPr fontId="1"/>
  </si>
  <si>
    <t>AccruedBonuses</t>
  </si>
  <si>
    <t>AccruedBonuses</t>
    <phoneticPr fontId="1"/>
  </si>
  <si>
    <t>CorporateSubsidiesPayment</t>
  </si>
  <si>
    <t>CorporateSubsidiesPayment</t>
    <phoneticPr fontId="1"/>
  </si>
  <si>
    <t>SubsidiesReceived</t>
  </si>
  <si>
    <t>SubsidiesReceived</t>
    <phoneticPr fontId="1"/>
  </si>
  <si>
    <t>ReceivedSubsidies</t>
  </si>
  <si>
    <t>ReceivedSubsidies</t>
    <phoneticPr fontId="1"/>
  </si>
  <si>
    <t>AccruedCorporationTaxPayments</t>
  </si>
  <si>
    <t>AccruedCorporationTaxPayments</t>
    <phoneticPr fontId="1"/>
  </si>
  <si>
    <t>AccruedCorporationsTax</t>
  </si>
  <si>
    <t>AccruedCorporationsTax</t>
    <phoneticPr fontId="1"/>
  </si>
  <si>
    <t>TaxBudget</t>
  </si>
  <si>
    <t>TaxBudget</t>
    <phoneticPr fontId="1"/>
  </si>
  <si>
    <t>AccruedIncomeTax</t>
  </si>
  <si>
    <t>AccruedIncomeTax</t>
    <phoneticPr fontId="1"/>
  </si>
  <si>
    <t>AccruedIncomeTaxPayment</t>
  </si>
  <si>
    <t>AccruedIncomeTaxPayment</t>
    <phoneticPr fontId="1"/>
  </si>
  <si>
    <t>IncomeTaxReceived</t>
  </si>
  <si>
    <t>IncomeTaxReceived</t>
    <phoneticPr fontId="1"/>
  </si>
  <si>
    <t>ReceivedIncomeTax</t>
  </si>
  <si>
    <t>ReceivedIncomeTax</t>
    <phoneticPr fontId="1"/>
  </si>
  <si>
    <t>CorporationsTaxReceived</t>
  </si>
  <si>
    <t>CorporationsTaxReceived</t>
    <phoneticPr fontId="1"/>
  </si>
  <si>
    <t>ReceivedCorporationsTax</t>
  </si>
  <si>
    <t>ReceivedCorporationsTax</t>
    <phoneticPr fontId="1"/>
  </si>
  <si>
    <t>LongtermLoans</t>
  </si>
  <si>
    <t>LongtermLoans</t>
    <phoneticPr fontId="1"/>
  </si>
  <si>
    <t>LongtermDebt</t>
  </si>
  <si>
    <t>LongtermDebt</t>
    <phoneticPr fontId="1"/>
  </si>
  <si>
    <t>InterestExpense</t>
  </si>
  <si>
    <t>InterestExpense</t>
    <phoneticPr fontId="1"/>
  </si>
  <si>
    <t>InterestPayment</t>
  </si>
  <si>
    <t>InterestPayment</t>
    <phoneticPr fontId="1"/>
  </si>
  <si>
    <t>LoanInterestReceived</t>
  </si>
  <si>
    <t>LoanInterestReceived</t>
    <phoneticPr fontId="1"/>
  </si>
  <si>
    <t>ReceivedLoanInterest</t>
  </si>
  <si>
    <t>ReceivedLoanInterest</t>
    <phoneticPr fontId="1"/>
  </si>
  <si>
    <t>ShorttermDebt</t>
  </si>
  <si>
    <t>ShorttermDebt</t>
    <phoneticPr fontId="1"/>
  </si>
  <si>
    <t>ShorttermLoans</t>
  </si>
  <si>
    <t>ShorttermLoans</t>
    <phoneticPr fontId="1"/>
  </si>
  <si>
    <t>LongtermLoanRepayments</t>
  </si>
  <si>
    <t>LongtermLoanRepayments</t>
    <phoneticPr fontId="1"/>
  </si>
  <si>
    <t>ShorttermLoanRepayments</t>
  </si>
  <si>
    <t>ShorttermLoanRepayments</t>
    <phoneticPr fontId="1"/>
  </si>
  <si>
    <t>LongtermLoanReceivables</t>
  </si>
  <si>
    <t>LongtermLoanReceivables</t>
    <phoneticPr fontId="1"/>
  </si>
  <si>
    <t>ShorttermLoanReceivables</t>
  </si>
  <si>
    <t>ShorttermLoanReceivables</t>
    <phoneticPr fontId="1"/>
  </si>
  <si>
    <t>LongtermCashLoans</t>
  </si>
  <si>
    <t>LongtermCashLoans</t>
    <phoneticPr fontId="1"/>
  </si>
  <si>
    <t>ShorttermCashLoans</t>
  </si>
  <si>
    <t>ShorttermCashLoans</t>
    <phoneticPr fontId="1"/>
  </si>
  <si>
    <t>ReceiveLongtermRepayments</t>
  </si>
  <si>
    <t>ReceiveLongtermRepayments</t>
    <phoneticPr fontId="1"/>
  </si>
  <si>
    <t>ReceiveShorttermRepayments</t>
  </si>
  <si>
    <t>ReceiveShorttermRepayments</t>
    <phoneticPr fontId="1"/>
  </si>
  <si>
    <t>Deposits</t>
  </si>
  <si>
    <t>Deposits</t>
    <phoneticPr fontId="1"/>
  </si>
  <si>
    <t>DepositCash</t>
  </si>
  <si>
    <t>DepositCash</t>
    <phoneticPr fontId="1"/>
  </si>
  <si>
    <t>DepositsUnderCustody</t>
  </si>
  <si>
    <t>DepositsUnderCustody</t>
    <phoneticPr fontId="1"/>
  </si>
  <si>
    <t>DepositAcceptance</t>
  </si>
  <si>
    <t>DepositAcceptance</t>
    <phoneticPr fontId="1"/>
  </si>
  <si>
    <t>DepositWithdrawal</t>
  </si>
  <si>
    <t>DepositWithdrawal</t>
    <phoneticPr fontId="1"/>
  </si>
  <si>
    <t>InterestExpense(Interest)</t>
  </si>
  <si>
    <t>InterestExpense(Interest)</t>
    <phoneticPr fontId="1"/>
  </si>
  <si>
    <t>DepositInterestPayment</t>
  </si>
  <si>
    <t>DepositInterestPayment</t>
    <phoneticPr fontId="1"/>
  </si>
  <si>
    <t>DepositInterestReceived</t>
  </si>
  <si>
    <t>DepositInterestReceived</t>
    <phoneticPr fontId="1"/>
  </si>
  <si>
    <t>ReceivedDepositInterest</t>
  </si>
  <si>
    <t>ReceivedDepositInterest</t>
    <phoneticPr fontId="1"/>
  </si>
  <si>
    <t>Supplies_R</t>
  </si>
  <si>
    <t>Supplies_R</t>
    <phoneticPr fontId="1"/>
  </si>
  <si>
    <t>BuyingSupplies_R</t>
  </si>
  <si>
    <t>BuyingSupplies_R</t>
    <phoneticPr fontId="1"/>
  </si>
  <si>
    <t>CostSales</t>
  </si>
  <si>
    <t>CostSales</t>
    <phoneticPr fontId="1"/>
  </si>
  <si>
    <t>ProductSalesSupplies_C</t>
  </si>
  <si>
    <t>ProductSalesSupplies_C</t>
    <phoneticPr fontId="1"/>
  </si>
  <si>
    <t>ProductSalesSupplies_G</t>
  </si>
  <si>
    <t>ProductSalesSupplies_G</t>
    <phoneticPr fontId="1"/>
  </si>
  <si>
    <t>Buying_CtoR_Supplies</t>
    <phoneticPr fontId="1"/>
  </si>
  <si>
    <t>Buying_GtoR_Supplies</t>
  </si>
  <si>
    <t>ProductSales_Supplies</t>
  </si>
  <si>
    <t>ProductSales_Supplies</t>
    <phoneticPr fontId="1"/>
  </si>
  <si>
    <t>CorporateSubsidies</t>
  </si>
  <si>
    <t>CorporateSubsidies</t>
    <phoneticPr fontId="1"/>
  </si>
  <si>
    <t>BonusBudgeting</t>
  </si>
  <si>
    <t>AccruedIncomeTaxPayments</t>
  </si>
  <si>
    <t>Buying_CtoR_Supplies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</si>
</sst>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Yu Gothic"/>
      <family val="2"/>
      <scheme val="minor"/>
    </font>
    <font>
      <sz val="6"/>
      <name val="Yu Gothic"/>
      <family val="3"/>
      <charset val="128"/>
      <scheme val="minor"/>
    </font>
    <font>
      <sz val="9"/>
      <color theme="1"/>
      <name val="Yu Gothic"/>
      <family val="2"/>
      <scheme val="minor"/>
    </font>
    <font>
      <b/>
      <sz val="9"/>
      <color indexed="81"/>
      <name val="MS P ゴシック"/>
      <family val="3"/>
      <charset val="128"/>
    </font>
    <font>
      <b/>
      <sz val="11"/>
      <color theme="1"/>
      <name val="Yu Gothic"/>
      <family val="3"/>
      <charset val="128"/>
      <scheme val="minor"/>
    </font>
    <font>
      <sz val="11"/>
      <color rgb="FFFF0000"/>
      <name val="Yu Gothic"/>
      <family val="2"/>
      <charset val="128"/>
      <scheme val="minor"/>
    </font>
    <font>
      <sz val="6"/>
      <name val="Yu Gothic"/>
      <family val="2"/>
      <charset val="128"/>
      <scheme val="minor"/>
    </font>
    <font>
      <sz val="11"/>
      <name val="Yu Gothic"/>
      <family val="2"/>
      <charset val="128"/>
      <scheme val="minor"/>
    </font>
    <font>
      <sz val="11"/>
      <color rgb="FFFF0000"/>
      <name val="Yu Gothic"/>
      <family val="3"/>
      <charset val="128"/>
      <scheme val="minor"/>
    </font>
  </fonts>
  <fills count="14">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4FFEF"/>
        <bgColor indexed="64"/>
      </patternFill>
    </fill>
    <fill>
      <patternFill patternType="solid">
        <fgColor rgb="FFF9E8F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bgColor indexed="64"/>
      </patternFill>
    </fill>
  </fills>
  <borders count="70">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bottom/>
      <diagonal/>
    </border>
    <border>
      <left/>
      <right style="thin">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thin">
        <color indexed="64"/>
      </right>
      <top style="thin">
        <color indexed="64"/>
      </top>
      <bottom style="thin">
        <color indexed="64"/>
      </bottom>
      <diagonal/>
    </border>
    <border>
      <left style="thin">
        <color indexed="64"/>
      </left>
      <right style="thin">
        <color theme="0" tint="-0.34998626667073579"/>
      </right>
      <top style="thin">
        <color indexed="64"/>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indexed="64"/>
      </right>
      <top/>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bottom style="thin">
        <color indexed="64"/>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thin">
        <color indexed="64"/>
      </bottom>
      <diagonal/>
    </border>
    <border>
      <left style="thin">
        <color theme="0" tint="-0.34998626667073579"/>
      </left>
      <right style="medium">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medium">
        <color indexed="64"/>
      </bottom>
      <diagonal/>
    </border>
    <border>
      <left style="thin">
        <color theme="0" tint="-0.34998626667073579"/>
      </left>
      <right style="medium">
        <color indexed="64"/>
      </right>
      <top/>
      <bottom style="medium">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diagonal/>
    </border>
    <border>
      <left/>
      <right/>
      <top style="medium">
        <color indexed="64"/>
      </top>
      <bottom/>
      <diagonal/>
    </border>
    <border>
      <left style="thin">
        <color theme="0" tint="-0.34998626667073579"/>
      </left>
      <right style="medium">
        <color indexed="64"/>
      </right>
      <top style="medium">
        <color indexed="64"/>
      </top>
      <bottom/>
      <diagonal/>
    </border>
    <border>
      <left style="medium">
        <color indexed="64"/>
      </left>
      <right style="thin">
        <color theme="0" tint="-0.34998626667073579"/>
      </right>
      <top style="thin">
        <color theme="0" tint="-0.34998626667073579"/>
      </top>
      <bottom style="thin">
        <color theme="0" tint="-0.34998626667073579"/>
      </bottom>
      <diagonal/>
    </border>
    <border>
      <left/>
      <right style="medium">
        <color indexed="64"/>
      </right>
      <top/>
      <bottom/>
      <diagonal/>
    </border>
    <border>
      <left/>
      <right style="medium">
        <color indexed="64"/>
      </right>
      <top/>
      <bottom style="medium">
        <color indexed="64"/>
      </bottom>
      <diagonal/>
    </border>
  </borders>
  <cellStyleXfs count="1">
    <xf numFmtId="0" fontId="0" fillId="0" borderId="0"/>
  </cellStyleXfs>
  <cellXfs count="141">
    <xf numFmtId="0" fontId="0" fillId="0" borderId="0" xfId="0"/>
    <xf numFmtId="0" fontId="0" fillId="0" borderId="1" xfId="0" applyBorder="1"/>
    <xf numFmtId="0" fontId="0" fillId="0" borderId="1" xfId="0" applyBorder="1" applyAlignment="1">
      <alignment wrapText="1"/>
    </xf>
    <xf numFmtId="0" fontId="0" fillId="0" borderId="4" xfId="0" applyBorder="1"/>
    <xf numFmtId="0" fontId="0" fillId="0" borderId="6" xfId="0" applyBorder="1"/>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wrapText="1"/>
    </xf>
    <xf numFmtId="0" fontId="0" fillId="2" borderId="1" xfId="0" applyFill="1" applyBorder="1"/>
    <xf numFmtId="0" fontId="0" fillId="3" borderId="1" xfId="0" applyFill="1" applyBorder="1"/>
    <xf numFmtId="0" fontId="0" fillId="4" borderId="1" xfId="0" applyFill="1" applyBorder="1"/>
    <xf numFmtId="0" fontId="2" fillId="0" borderId="8" xfId="0" applyFont="1" applyBorder="1" applyAlignment="1">
      <alignment horizontal="center"/>
    </xf>
    <xf numFmtId="0" fontId="2" fillId="0" borderId="11" xfId="0" applyFont="1" applyBorder="1" applyAlignment="1">
      <alignment horizontal="center"/>
    </xf>
    <xf numFmtId="0" fontId="2" fillId="0" borderId="15" xfId="0" applyFont="1" applyBorder="1" applyAlignment="1">
      <alignment horizontal="center"/>
    </xf>
    <xf numFmtId="0" fontId="2" fillId="0" borderId="17" xfId="0" applyFont="1" applyBorder="1" applyAlignment="1">
      <alignment horizontal="center"/>
    </xf>
    <xf numFmtId="0" fontId="0" fillId="5" borderId="9" xfId="0" applyFill="1" applyBorder="1"/>
    <xf numFmtId="0" fontId="0" fillId="5" borderId="12" xfId="0" applyFill="1" applyBorder="1"/>
    <xf numFmtId="0" fontId="0" fillId="6" borderId="14" xfId="0" applyFill="1" applyBorder="1"/>
    <xf numFmtId="0" fontId="0" fillId="6" borderId="16" xfId="0" applyFill="1" applyBorder="1"/>
    <xf numFmtId="0" fontId="0" fillId="0" borderId="7" xfId="0" applyBorder="1" applyAlignment="1">
      <alignment horizontal="center"/>
    </xf>
    <xf numFmtId="0" fontId="0" fillId="5" borderId="9" xfId="0" applyFill="1" applyBorder="1" applyAlignment="1">
      <alignment horizontal="center"/>
    </xf>
    <xf numFmtId="0" fontId="0" fillId="5" borderId="12" xfId="0" applyFill="1" applyBorder="1" applyAlignment="1">
      <alignment horizontal="center"/>
    </xf>
    <xf numFmtId="0" fontId="0" fillId="6" borderId="9" xfId="0" applyFill="1" applyBorder="1" applyAlignment="1">
      <alignment horizontal="center"/>
    </xf>
    <xf numFmtId="0" fontId="0" fillId="6" borderId="12" xfId="0" applyFill="1" applyBorder="1" applyAlignment="1">
      <alignment horizontal="center"/>
    </xf>
    <xf numFmtId="0" fontId="0" fillId="5" borderId="10" xfId="0" applyFill="1" applyBorder="1" applyAlignment="1">
      <alignment horizontal="right"/>
    </xf>
    <xf numFmtId="0" fontId="0" fillId="5" borderId="13" xfId="0" applyFill="1" applyBorder="1" applyAlignment="1">
      <alignment horizontal="right"/>
    </xf>
    <xf numFmtId="0" fontId="0" fillId="6" borderId="9" xfId="0" applyFill="1" applyBorder="1" applyAlignment="1">
      <alignment horizontal="right"/>
    </xf>
    <xf numFmtId="0" fontId="0" fillId="6" borderId="12" xfId="0" applyFill="1" applyBorder="1" applyAlignment="1">
      <alignment horizontal="right"/>
    </xf>
    <xf numFmtId="0" fontId="0" fillId="5" borderId="9" xfId="0" applyFill="1" applyBorder="1" applyAlignment="1">
      <alignment horizontal="left" indent="1"/>
    </xf>
    <xf numFmtId="0" fontId="0" fillId="5" borderId="12" xfId="0" applyFill="1" applyBorder="1" applyAlignment="1">
      <alignment horizontal="left" indent="1"/>
    </xf>
    <xf numFmtId="0" fontId="0" fillId="6" borderId="9" xfId="0" applyFill="1" applyBorder="1" applyAlignment="1">
      <alignment horizontal="right" indent="1"/>
    </xf>
    <xf numFmtId="0" fontId="0" fillId="6" borderId="12" xfId="0" applyFill="1" applyBorder="1" applyAlignment="1">
      <alignment horizontal="right" indent="1"/>
    </xf>
    <xf numFmtId="0" fontId="0" fillId="6" borderId="9" xfId="0" applyFill="1" applyBorder="1" applyAlignment="1">
      <alignment horizontal="left" indent="1"/>
    </xf>
    <xf numFmtId="0" fontId="0" fillId="6" borderId="12" xfId="0" applyFill="1" applyBorder="1" applyAlignment="1">
      <alignment horizontal="left" indent="1"/>
    </xf>
    <xf numFmtId="0" fontId="0" fillId="5" borderId="9" xfId="0" applyFill="1" applyBorder="1" applyAlignment="1">
      <alignment horizontal="right" indent="1"/>
    </xf>
    <xf numFmtId="0" fontId="0" fillId="5" borderId="12" xfId="0" applyFill="1" applyBorder="1" applyAlignment="1">
      <alignment horizontal="right" indent="1"/>
    </xf>
    <xf numFmtId="0" fontId="0" fillId="0" borderId="19" xfId="0" applyBorder="1" applyAlignment="1">
      <alignment horizontal="center" vertical="center"/>
    </xf>
    <xf numFmtId="0" fontId="0" fillId="0" borderId="18" xfId="0" applyBorder="1"/>
    <xf numFmtId="0" fontId="0" fillId="0" borderId="20" xfId="0" applyBorder="1"/>
    <xf numFmtId="0" fontId="0" fillId="0" borderId="21" xfId="0" applyBorder="1"/>
    <xf numFmtId="0" fontId="4" fillId="0" borderId="0" xfId="0" applyFont="1"/>
    <xf numFmtId="0" fontId="0" fillId="0" borderId="22" xfId="0" applyBorder="1"/>
    <xf numFmtId="0" fontId="0" fillId="0" borderId="23" xfId="0" applyBorder="1"/>
    <xf numFmtId="0" fontId="0" fillId="0" borderId="0" xfId="0" applyAlignment="1">
      <alignment wrapText="1"/>
    </xf>
    <xf numFmtId="0" fontId="0" fillId="0" borderId="0" xfId="0" applyAlignment="1">
      <alignment vertical="top"/>
    </xf>
    <xf numFmtId="0" fontId="0" fillId="0" borderId="0" xfId="0" applyAlignment="1">
      <alignment vertical="center"/>
    </xf>
    <xf numFmtId="0" fontId="5" fillId="7" borderId="0" xfId="0" applyFont="1" applyFill="1" applyAlignment="1">
      <alignment vertical="center"/>
    </xf>
    <xf numFmtId="0" fontId="7" fillId="0" borderId="0" xfId="0" applyFont="1" applyAlignment="1">
      <alignment vertical="center"/>
    </xf>
    <xf numFmtId="0" fontId="0" fillId="9" borderId="0" xfId="0" applyFill="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18" xfId="0" applyBorder="1" applyAlignment="1">
      <alignment vertical="center"/>
    </xf>
    <xf numFmtId="0" fontId="0" fillId="0" borderId="29"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20" xfId="0" applyBorder="1" applyAlignment="1">
      <alignment vertical="center"/>
    </xf>
    <xf numFmtId="0" fontId="0" fillId="0" borderId="21" xfId="0" applyBorder="1" applyAlignment="1">
      <alignment vertical="center"/>
    </xf>
    <xf numFmtId="0" fontId="0" fillId="0" borderId="32" xfId="0" applyBorder="1" applyAlignment="1">
      <alignment vertical="center"/>
    </xf>
    <xf numFmtId="0" fontId="0" fillId="0" borderId="33" xfId="0" applyBorder="1" applyAlignment="1">
      <alignment vertical="center"/>
    </xf>
    <xf numFmtId="0" fontId="5" fillId="7" borderId="25" xfId="0" applyFont="1" applyFill="1" applyBorder="1" applyAlignment="1">
      <alignment vertical="center"/>
    </xf>
    <xf numFmtId="0" fontId="7" fillId="0" borderId="25" xfId="0" applyFont="1" applyBorder="1" applyAlignment="1">
      <alignment vertical="center"/>
    </xf>
    <xf numFmtId="0" fontId="0" fillId="0" borderId="34" xfId="0" applyBorder="1" applyAlignment="1">
      <alignment vertical="center"/>
    </xf>
    <xf numFmtId="0" fontId="0" fillId="0" borderId="35" xfId="0" applyBorder="1" applyAlignment="1">
      <alignment vertical="center"/>
    </xf>
    <xf numFmtId="0" fontId="0" fillId="0" borderId="36" xfId="0" applyBorder="1" applyAlignment="1">
      <alignment vertical="center"/>
    </xf>
    <xf numFmtId="0" fontId="0" fillId="0" borderId="37" xfId="0" applyBorder="1" applyAlignment="1">
      <alignment vertical="center"/>
    </xf>
    <xf numFmtId="0" fontId="0" fillId="0" borderId="38"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49" xfId="0" applyBorder="1" applyAlignment="1">
      <alignment vertical="center"/>
    </xf>
    <xf numFmtId="0" fontId="0" fillId="0" borderId="50" xfId="0" applyBorder="1" applyAlignment="1">
      <alignment vertical="center"/>
    </xf>
    <xf numFmtId="0" fontId="0" fillId="0" borderId="51"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0" fillId="0" borderId="52" xfId="0" applyBorder="1" applyAlignment="1">
      <alignment vertical="center"/>
    </xf>
    <xf numFmtId="0" fontId="0" fillId="0" borderId="26" xfId="0" applyBorder="1" applyAlignment="1">
      <alignment vertical="center"/>
    </xf>
    <xf numFmtId="0" fontId="5" fillId="0" borderId="0" xfId="0" applyFont="1" applyAlignment="1">
      <alignment vertical="center"/>
    </xf>
    <xf numFmtId="0" fontId="0" fillId="10" borderId="0" xfId="0" applyFill="1" applyAlignment="1">
      <alignment vertical="center"/>
    </xf>
    <xf numFmtId="0" fontId="0" fillId="10" borderId="24" xfId="0" applyFill="1" applyBorder="1" applyAlignment="1">
      <alignment vertical="center"/>
    </xf>
    <xf numFmtId="0" fontId="0" fillId="10" borderId="25" xfId="0" applyFill="1" applyBorder="1" applyAlignment="1">
      <alignment vertical="center"/>
    </xf>
    <xf numFmtId="0" fontId="5" fillId="10" borderId="0" xfId="0" applyFont="1" applyFill="1" applyAlignment="1">
      <alignment vertical="center"/>
    </xf>
    <xf numFmtId="0" fontId="7" fillId="10" borderId="0" xfId="0" applyFont="1" applyFill="1" applyAlignment="1">
      <alignment vertical="center"/>
    </xf>
    <xf numFmtId="0" fontId="0" fillId="9" borderId="51" xfId="0" applyFill="1" applyBorder="1" applyAlignment="1">
      <alignment vertical="center"/>
    </xf>
    <xf numFmtId="0" fontId="0" fillId="7" borderId="0" xfId="0" applyFill="1" applyAlignment="1">
      <alignment vertical="center"/>
    </xf>
    <xf numFmtId="0" fontId="5" fillId="7" borderId="22" xfId="0" applyFont="1" applyFill="1" applyBorder="1" applyAlignment="1">
      <alignment vertical="center"/>
    </xf>
    <xf numFmtId="0" fontId="7" fillId="0" borderId="22" xfId="0" applyFont="1" applyBorder="1" applyAlignment="1">
      <alignment vertical="center"/>
    </xf>
    <xf numFmtId="0" fontId="5" fillId="7" borderId="20" xfId="0" applyFont="1" applyFill="1" applyBorder="1" applyAlignment="1">
      <alignment vertical="center"/>
    </xf>
    <xf numFmtId="0" fontId="7" fillId="0" borderId="20" xfId="0" applyFont="1" applyBorder="1" applyAlignment="1">
      <alignment vertical="center"/>
    </xf>
    <xf numFmtId="0" fontId="0" fillId="0" borderId="56" xfId="0" applyBorder="1" applyAlignment="1">
      <alignment vertical="center"/>
    </xf>
    <xf numFmtId="0" fontId="0" fillId="0" borderId="57" xfId="0" applyBorder="1" applyAlignment="1">
      <alignment vertical="center"/>
    </xf>
    <xf numFmtId="0" fontId="7" fillId="0" borderId="30" xfId="0" applyFont="1"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0" fillId="0" borderId="60" xfId="0" applyBorder="1" applyAlignment="1">
      <alignment vertical="center"/>
    </xf>
    <xf numFmtId="0" fontId="0" fillId="0" borderId="2" xfId="0" applyBorder="1" applyAlignment="1">
      <alignment vertical="center"/>
    </xf>
    <xf numFmtId="0" fontId="5" fillId="7" borderId="2" xfId="0" applyFont="1" applyFill="1" applyBorder="1" applyAlignment="1">
      <alignment vertical="center"/>
    </xf>
    <xf numFmtId="0" fontId="7" fillId="0" borderId="2" xfId="0" applyFont="1" applyBorder="1" applyAlignment="1">
      <alignment vertical="center"/>
    </xf>
    <xf numFmtId="0" fontId="0" fillId="0" borderId="61" xfId="0" applyBorder="1" applyAlignment="1">
      <alignment vertical="center"/>
    </xf>
    <xf numFmtId="0" fontId="0" fillId="0" borderId="62" xfId="0" applyBorder="1" applyAlignment="1">
      <alignment vertical="center"/>
    </xf>
    <xf numFmtId="0" fontId="0" fillId="0" borderId="63" xfId="0" applyBorder="1" applyAlignment="1">
      <alignment vertical="center"/>
    </xf>
    <xf numFmtId="0" fontId="0" fillId="0" borderId="64" xfId="0" applyBorder="1" applyAlignment="1">
      <alignment vertical="center"/>
    </xf>
    <xf numFmtId="0" fontId="5" fillId="7" borderId="65" xfId="0" applyFont="1" applyFill="1" applyBorder="1" applyAlignment="1">
      <alignment vertical="center"/>
    </xf>
    <xf numFmtId="0" fontId="7" fillId="0" borderId="65" xfId="0" applyFont="1" applyBorder="1" applyAlignment="1">
      <alignment vertical="center"/>
    </xf>
    <xf numFmtId="0" fontId="0" fillId="0" borderId="66" xfId="0" applyBorder="1" applyAlignment="1">
      <alignment vertical="center"/>
    </xf>
    <xf numFmtId="0" fontId="0" fillId="0" borderId="67" xfId="0" applyBorder="1" applyAlignment="1">
      <alignment vertical="center"/>
    </xf>
    <xf numFmtId="0" fontId="0" fillId="0" borderId="68" xfId="0" applyBorder="1" applyAlignment="1">
      <alignment vertical="center"/>
    </xf>
    <xf numFmtId="0" fontId="0" fillId="7" borderId="2" xfId="0" applyFill="1" applyBorder="1" applyAlignment="1">
      <alignment vertical="center"/>
    </xf>
    <xf numFmtId="0" fontId="0" fillId="0" borderId="69" xfId="0" applyBorder="1" applyAlignment="1">
      <alignment vertical="center"/>
    </xf>
    <xf numFmtId="0" fontId="0" fillId="11" borderId="1" xfId="0" applyFill="1" applyBorder="1"/>
    <xf numFmtId="0" fontId="0" fillId="12" borderId="1" xfId="0" applyFill="1" applyBorder="1"/>
    <xf numFmtId="0" fontId="0" fillId="13" borderId="1" xfId="0" applyFill="1" applyBorder="1"/>
    <xf numFmtId="0" fontId="0" fillId="12" borderId="5" xfId="0" applyFill="1" applyBorder="1" applyAlignment="1">
      <alignment horizontal="center"/>
    </xf>
    <xf numFmtId="0" fontId="0" fillId="12" borderId="7" xfId="0" applyFill="1" applyBorder="1" applyAlignment="1">
      <alignment horizontal="center"/>
    </xf>
    <xf numFmtId="0" fontId="0" fillId="4" borderId="24" xfId="0" applyFill="1" applyBorder="1" applyAlignment="1">
      <alignment horizontal="center" vertical="center"/>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8" borderId="24" xfId="0" applyFill="1" applyBorder="1" applyAlignment="1">
      <alignment horizontal="center" vertical="center"/>
    </xf>
    <xf numFmtId="0" fontId="0" fillId="8" borderId="25" xfId="0" applyFill="1" applyBorder="1" applyAlignment="1">
      <alignment horizontal="center" vertical="center"/>
    </xf>
    <xf numFmtId="0" fontId="0" fillId="8" borderId="26" xfId="0" applyFill="1" applyBorder="1" applyAlignment="1">
      <alignment horizontal="center" vertical="center"/>
    </xf>
    <xf numFmtId="0" fontId="0" fillId="8" borderId="29" xfId="0" applyFill="1" applyBorder="1" applyAlignment="1">
      <alignment horizontal="center" vertical="center"/>
    </xf>
    <xf numFmtId="0" fontId="0" fillId="8" borderId="22" xfId="0" applyFill="1" applyBorder="1" applyAlignment="1">
      <alignment horizontal="center" vertical="center"/>
    </xf>
    <xf numFmtId="0" fontId="0" fillId="4" borderId="20" xfId="0" applyFill="1" applyBorder="1" applyAlignment="1">
      <alignment horizontal="center" vertical="center"/>
    </xf>
    <xf numFmtId="0" fontId="0" fillId="8" borderId="0" xfId="0" applyFill="1" applyAlignment="1">
      <alignment horizontal="center" vertical="center"/>
    </xf>
    <xf numFmtId="0" fontId="0" fillId="4" borderId="31" xfId="0" applyFill="1" applyBorder="1" applyAlignment="1">
      <alignment horizontal="center" vertical="center"/>
    </xf>
    <xf numFmtId="0" fontId="0" fillId="4" borderId="21" xfId="0" applyFill="1" applyBorder="1" applyAlignment="1">
      <alignment horizontal="center" vertical="center"/>
    </xf>
    <xf numFmtId="0" fontId="0" fillId="0" borderId="0" xfId="0" applyAlignment="1">
      <alignment horizontal="left" vertical="center"/>
    </xf>
    <xf numFmtId="0" fontId="0" fillId="8" borderId="53" xfId="0" applyFill="1" applyBorder="1" applyAlignment="1">
      <alignment horizontal="center" vertical="center"/>
    </xf>
    <xf numFmtId="0" fontId="0" fillId="8" borderId="54" xfId="0" applyFill="1" applyBorder="1" applyAlignment="1">
      <alignment horizontal="center" vertical="center"/>
    </xf>
    <xf numFmtId="0" fontId="0" fillId="8" borderId="55" xfId="0" applyFill="1" applyBorder="1" applyAlignment="1">
      <alignment horizontal="center" vertical="center"/>
    </xf>
    <xf numFmtId="0" fontId="5" fillId="0" borderId="0" xfId="0" applyFont="1" applyAlignment="1">
      <alignment horizontal="center" vertical="center"/>
    </xf>
    <xf numFmtId="0" fontId="8" fillId="0" borderId="0" xfId="0" applyFont="1" applyAlignment="1">
      <alignment horizontal="center" vertical="center"/>
    </xf>
    <xf numFmtId="0" fontId="0" fillId="8" borderId="23" xfId="0"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9E8FE"/>
      <color rgb="FFF4FFEF"/>
      <color rgb="FFF5D6FE"/>
      <color rgb="FFFFFFFF"/>
      <color rgb="FFDEF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0</xdr:row>
          <xdr:rowOff>228600</xdr:rowOff>
        </xdr:from>
        <xdr:to>
          <xdr:col>4</xdr:col>
          <xdr:colOff>1209675</xdr:colOff>
          <xdr:row>2</xdr:row>
          <xdr:rowOff>57150</xdr:rowOff>
        </xdr:to>
        <xdr:sp macro="" textlink="">
          <xdr:nvSpPr>
            <xdr:cNvPr id="5121" name="FirstCom_FirstARtable"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247650</xdr:colOff>
          <xdr:row>0</xdr:row>
          <xdr:rowOff>142875</xdr:rowOff>
        </xdr:from>
        <xdr:to>
          <xdr:col>5</xdr:col>
          <xdr:colOff>647700</xdr:colOff>
          <xdr:row>2</xdr:row>
          <xdr:rowOff>19050</xdr:rowOff>
        </xdr:to>
        <xdr:sp macro="" textlink="">
          <xdr:nvSpPr>
            <xdr:cNvPr id="7169" name="Seconod_journaltable"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447675</xdr:colOff>
          <xdr:row>0</xdr:row>
          <xdr:rowOff>0</xdr:rowOff>
        </xdr:from>
        <xdr:to>
          <xdr:col>4</xdr:col>
          <xdr:colOff>457200</xdr:colOff>
          <xdr:row>1</xdr:row>
          <xdr:rowOff>190500</xdr:rowOff>
        </xdr:to>
        <xdr:sp macro="" textlink="">
          <xdr:nvSpPr>
            <xdr:cNvPr id="9217" name="Third__OverlapChecker"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0</xdr:rowOff>
        </xdr:from>
        <xdr:to>
          <xdr:col>10</xdr:col>
          <xdr:colOff>142875</xdr:colOff>
          <xdr:row>1</xdr:row>
          <xdr:rowOff>190500</xdr:rowOff>
        </xdr:to>
        <xdr:sp macro="" textlink="">
          <xdr:nvSpPr>
            <xdr:cNvPr id="9219" name="Fourth__SubjectTableCreate" hidden="1">
              <a:extLst>
                <a:ext uri="{63B3BB69-23CF-44E3-9099-C40C66FF867C}">
                  <a14:compatExt spid="_x0000_s9219"/>
                </a:ext>
                <a:ext uri="{FF2B5EF4-FFF2-40B4-BE49-F238E27FC236}">
                  <a16:creationId xmlns:a16="http://schemas.microsoft.com/office/drawing/2014/main" id="{00000000-0008-0000-06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142875</xdr:colOff>
          <xdr:row>2</xdr:row>
          <xdr:rowOff>57150</xdr:rowOff>
        </xdr:from>
        <xdr:to>
          <xdr:col>27</xdr:col>
          <xdr:colOff>190500</xdr:colOff>
          <xdr:row>5</xdr:row>
          <xdr:rowOff>228600</xdr:rowOff>
        </xdr:to>
        <xdr:sp macro="" textlink="">
          <xdr:nvSpPr>
            <xdr:cNvPr id="16385" name="ReNumberingButton"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295275</xdr:colOff>
          <xdr:row>10</xdr:row>
          <xdr:rowOff>47625</xdr:rowOff>
        </xdr:from>
        <xdr:to>
          <xdr:col>27</xdr:col>
          <xdr:colOff>323850</xdr:colOff>
          <xdr:row>15</xdr:row>
          <xdr:rowOff>85725</xdr:rowOff>
        </xdr:to>
        <xdr:sp macro="" textlink="">
          <xdr:nvSpPr>
            <xdr:cNvPr id="16386" name="ReJournal" hidden="1">
              <a:extLst>
                <a:ext uri="{63B3BB69-23CF-44E3-9099-C40C66FF867C}">
                  <a14:compatExt spid="_x0000_s16386"/>
                </a:ext>
                <a:ext uri="{FF2B5EF4-FFF2-40B4-BE49-F238E27FC236}">
                  <a16:creationId xmlns:a16="http://schemas.microsoft.com/office/drawing/2014/main" id="{00000000-0008-0000-07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180975</xdr:colOff>
          <xdr:row>1</xdr:row>
          <xdr:rowOff>9525</xdr:rowOff>
        </xdr:from>
        <xdr:to>
          <xdr:col>17</xdr:col>
          <xdr:colOff>114300</xdr:colOff>
          <xdr:row>4</xdr:row>
          <xdr:rowOff>123825</xdr:rowOff>
        </xdr:to>
        <xdr:sp macro="" textlink="">
          <xdr:nvSpPr>
            <xdr:cNvPr id="21505" name="CSVCreate"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35</xdr:col>
      <xdr:colOff>911087</xdr:colOff>
      <xdr:row>78</xdr:row>
      <xdr:rowOff>140805</xdr:rowOff>
    </xdr:from>
    <xdr:to>
      <xdr:col>36</xdr:col>
      <xdr:colOff>505240</xdr:colOff>
      <xdr:row>80</xdr:row>
      <xdr:rowOff>165652</xdr:rowOff>
    </xdr:to>
    <xdr:sp macro="" textlink="">
      <xdr:nvSpPr>
        <xdr:cNvPr id="2" name="右矢印 1">
          <a:extLst>
            <a:ext uri="{FF2B5EF4-FFF2-40B4-BE49-F238E27FC236}">
              <a16:creationId xmlns:a16="http://schemas.microsoft.com/office/drawing/2014/main" id="{00000000-0008-0000-0C00-000002000000}"/>
            </a:ext>
          </a:extLst>
        </xdr:cNvPr>
        <xdr:cNvSpPr/>
      </xdr:nvSpPr>
      <xdr:spPr>
        <a:xfrm>
          <a:off x="26419037" y="13523430"/>
          <a:ext cx="50855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911087</xdr:colOff>
      <xdr:row>108</xdr:row>
      <xdr:rowOff>140805</xdr:rowOff>
    </xdr:from>
    <xdr:to>
      <xdr:col>36</xdr:col>
      <xdr:colOff>505240</xdr:colOff>
      <xdr:row>110</xdr:row>
      <xdr:rowOff>165652</xdr:rowOff>
    </xdr:to>
    <xdr:sp macro="" textlink="">
      <xdr:nvSpPr>
        <xdr:cNvPr id="3" name="右矢印 2">
          <a:extLst>
            <a:ext uri="{FF2B5EF4-FFF2-40B4-BE49-F238E27FC236}">
              <a16:creationId xmlns:a16="http://schemas.microsoft.com/office/drawing/2014/main" id="{00000000-0008-0000-0C00-000003000000}"/>
            </a:ext>
          </a:extLst>
        </xdr:cNvPr>
        <xdr:cNvSpPr/>
      </xdr:nvSpPr>
      <xdr:spPr>
        <a:xfrm>
          <a:off x="26419037" y="18705030"/>
          <a:ext cx="50855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35</xdr:col>
      <xdr:colOff>930137</xdr:colOff>
      <xdr:row>96</xdr:row>
      <xdr:rowOff>26505</xdr:rowOff>
    </xdr:from>
    <xdr:to>
      <xdr:col>36</xdr:col>
      <xdr:colOff>524290</xdr:colOff>
      <xdr:row>98</xdr:row>
      <xdr:rowOff>51352</xdr:rowOff>
    </xdr:to>
    <xdr:sp macro="" textlink="">
      <xdr:nvSpPr>
        <xdr:cNvPr id="4" name="右矢印 3">
          <a:extLst>
            <a:ext uri="{FF2B5EF4-FFF2-40B4-BE49-F238E27FC236}">
              <a16:creationId xmlns:a16="http://schemas.microsoft.com/office/drawing/2014/main" id="{00000000-0008-0000-0C00-000004000000}"/>
            </a:ext>
          </a:extLst>
        </xdr:cNvPr>
        <xdr:cNvSpPr/>
      </xdr:nvSpPr>
      <xdr:spPr>
        <a:xfrm>
          <a:off x="26419037" y="16514280"/>
          <a:ext cx="527603" cy="367747"/>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5.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4.xml"/><Relationship Id="rId4" Type="http://schemas.openxmlformats.org/officeDocument/2006/relationships/image" Target="../media/image3.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7.vml"/><Relationship Id="rId1" Type="http://schemas.openxmlformats.org/officeDocument/2006/relationships/drawing" Target="../drawings/drawing5.xml"/><Relationship Id="rId4" Type="http://schemas.openxmlformats.org/officeDocument/2006/relationships/image" Target="../media/image7.emf"/></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4A636-2A20-4B32-858D-39474006FDC9}">
  <sheetPr codeName="Sheet10"/>
  <dimension ref="A2:B10"/>
  <sheetViews>
    <sheetView tabSelected="1" topLeftCell="A3" workbookViewId="0"/>
  </sheetViews>
  <sheetFormatPr defaultRowHeight="18.75"/>
  <cols>
    <col min="2" max="2" width="97.25" customWidth="1"/>
  </cols>
  <sheetData>
    <row r="2" spans="1:2" ht="37.5">
      <c r="A2">
        <v>1</v>
      </c>
      <c r="B2" s="43" t="s">
        <v>56</v>
      </c>
    </row>
    <row r="3" spans="1:2" ht="300">
      <c r="A3" s="44">
        <v>2</v>
      </c>
      <c r="B3" s="43" t="s">
        <v>397</v>
      </c>
    </row>
    <row r="4" spans="1:2" ht="300">
      <c r="A4" s="44">
        <v>3</v>
      </c>
      <c r="B4" s="43" t="s">
        <v>398</v>
      </c>
    </row>
    <row r="5" spans="1:2" ht="150">
      <c r="A5">
        <v>4</v>
      </c>
      <c r="B5" s="43" t="s">
        <v>399</v>
      </c>
    </row>
    <row r="6" spans="1:2" ht="337.5">
      <c r="A6">
        <v>5</v>
      </c>
      <c r="B6" s="43" t="s">
        <v>400</v>
      </c>
    </row>
    <row r="7" spans="1:2" ht="75">
      <c r="A7">
        <v>6</v>
      </c>
      <c r="B7" s="43" t="s">
        <v>403</v>
      </c>
    </row>
    <row r="8" spans="1:2" ht="150">
      <c r="A8">
        <v>7</v>
      </c>
      <c r="B8" s="43" t="s">
        <v>404</v>
      </c>
    </row>
    <row r="9" spans="1:2" ht="150">
      <c r="A9">
        <v>8</v>
      </c>
      <c r="B9" s="43" t="s">
        <v>405</v>
      </c>
    </row>
    <row r="10" spans="1:2" ht="56.25">
      <c r="A10">
        <v>9</v>
      </c>
      <c r="B10" s="43" t="s">
        <v>406</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2456F-F129-4B3E-93F2-6E0BD2136E29}">
  <sheetPr codeName="Sheet1"/>
  <dimension ref="B2:C7"/>
  <sheetViews>
    <sheetView workbookViewId="0"/>
  </sheetViews>
  <sheetFormatPr defaultRowHeight="18.75"/>
  <sheetData>
    <row r="2" spans="2:3">
      <c r="B2" t="s">
        <v>17</v>
      </c>
      <c r="C2" t="s">
        <v>33</v>
      </c>
    </row>
    <row r="3" spans="2:3">
      <c r="B3" s="1" t="s">
        <v>19</v>
      </c>
      <c r="C3" s="1">
        <v>0</v>
      </c>
    </row>
    <row r="4" spans="2:3">
      <c r="B4" s="1" t="s">
        <v>21</v>
      </c>
      <c r="C4" s="1">
        <v>1</v>
      </c>
    </row>
    <row r="5" spans="2:3">
      <c r="B5" s="1" t="s">
        <v>22</v>
      </c>
      <c r="C5" s="1">
        <v>2</v>
      </c>
    </row>
    <row r="6" spans="2:3">
      <c r="B6" s="1" t="s">
        <v>24</v>
      </c>
      <c r="C6" s="1">
        <v>3</v>
      </c>
    </row>
    <row r="7" spans="2:3">
      <c r="B7" s="1" t="s">
        <v>55</v>
      </c>
      <c r="C7" s="1">
        <v>4</v>
      </c>
    </row>
  </sheetData>
  <phoneticPr fontId="1"/>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E15"/>
  <sheetViews>
    <sheetView workbookViewId="0">
      <selection activeCell="D10" sqref="D10"/>
    </sheetView>
  </sheetViews>
  <sheetFormatPr defaultRowHeight="18.75"/>
  <cols>
    <col min="3" max="3" width="10.5" customWidth="1"/>
    <col min="4" max="4" width="12.875" customWidth="1"/>
    <col min="5" max="5" width="28.25" customWidth="1"/>
  </cols>
  <sheetData>
    <row r="2" spans="2:5" ht="37.5">
      <c r="B2" s="1" t="s">
        <v>0</v>
      </c>
      <c r="C2" s="2" t="s">
        <v>1</v>
      </c>
      <c r="D2" s="2" t="s">
        <v>2</v>
      </c>
      <c r="E2" s="1" t="s">
        <v>3</v>
      </c>
    </row>
    <row r="3" spans="2:5">
      <c r="B3" s="119">
        <v>1</v>
      </c>
      <c r="C3" s="119" t="s">
        <v>62</v>
      </c>
      <c r="D3" s="119" t="s">
        <v>32</v>
      </c>
      <c r="E3" s="119"/>
    </row>
    <row r="4" spans="2:5">
      <c r="B4" s="9">
        <v>10</v>
      </c>
      <c r="C4" s="9" t="s">
        <v>4</v>
      </c>
      <c r="D4" s="9" t="s">
        <v>411</v>
      </c>
      <c r="E4" s="9"/>
    </row>
    <row r="5" spans="2:5">
      <c r="B5" s="8">
        <v>20</v>
      </c>
      <c r="C5" s="8" t="s">
        <v>5</v>
      </c>
      <c r="D5" s="8" t="s">
        <v>413</v>
      </c>
      <c r="E5" s="8"/>
    </row>
    <row r="6" spans="2:5">
      <c r="B6" s="117">
        <v>30</v>
      </c>
      <c r="C6" s="117" t="s">
        <v>58</v>
      </c>
      <c r="D6" s="117" t="s">
        <v>415</v>
      </c>
      <c r="E6" s="117"/>
    </row>
    <row r="7" spans="2:5">
      <c r="B7" s="10">
        <v>40</v>
      </c>
      <c r="C7" s="10" t="s">
        <v>69</v>
      </c>
      <c r="D7" s="10" t="s">
        <v>417</v>
      </c>
      <c r="E7" s="10"/>
    </row>
    <row r="8" spans="2:5">
      <c r="B8" s="118">
        <v>90</v>
      </c>
      <c r="C8" s="118" t="s">
        <v>6</v>
      </c>
      <c r="D8" s="118" t="s">
        <v>419</v>
      </c>
      <c r="E8" s="118"/>
    </row>
    <row r="9" spans="2:5">
      <c r="B9" s="1"/>
      <c r="C9" s="1"/>
      <c r="D9" s="1"/>
      <c r="E9" s="1"/>
    </row>
    <row r="10" spans="2:5">
      <c r="B10" s="1"/>
      <c r="C10" s="1"/>
      <c r="D10" s="1"/>
      <c r="E10" s="1"/>
    </row>
    <row r="11" spans="2:5">
      <c r="B11" s="1"/>
      <c r="C11" s="1"/>
      <c r="D11" s="1"/>
      <c r="E11" s="1"/>
    </row>
    <row r="12" spans="2:5">
      <c r="B12" s="1"/>
      <c r="C12" s="1"/>
      <c r="D12" s="1"/>
      <c r="E12" s="1"/>
    </row>
    <row r="13" spans="2:5">
      <c r="B13" s="1"/>
      <c r="C13" s="1"/>
      <c r="D13" s="1"/>
      <c r="E13" s="1"/>
    </row>
    <row r="14" spans="2:5">
      <c r="B14" s="1"/>
      <c r="C14" s="1"/>
      <c r="D14" s="1"/>
      <c r="E14" s="1"/>
    </row>
    <row r="15" spans="2:5">
      <c r="B15" s="1"/>
      <c r="C15" s="1"/>
      <c r="D15" s="1"/>
      <c r="E15" s="1"/>
    </row>
  </sheetData>
  <phoneticPr fontId="1"/>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86EBF-697C-472A-90B1-32FE75923F68}">
  <sheetPr codeName="Sheet3"/>
  <dimension ref="B5:P281"/>
  <sheetViews>
    <sheetView zoomScale="130" zoomScaleNormal="130" workbookViewId="0">
      <selection activeCell="I28" sqref="I28"/>
    </sheetView>
  </sheetViews>
  <sheetFormatPr defaultRowHeight="18.75"/>
  <cols>
    <col min="2" max="2" width="5.875" bestFit="1" customWidth="1"/>
    <col min="5" max="7" width="17.25" customWidth="1"/>
    <col min="9" max="9" width="33" customWidth="1"/>
    <col min="11" max="13" width="17.25" customWidth="1"/>
    <col min="16" max="16" width="5.75" bestFit="1" customWidth="1"/>
  </cols>
  <sheetData>
    <row r="5" spans="2:16" ht="38.25" thickBot="1">
      <c r="B5" s="5" t="s">
        <v>15</v>
      </c>
      <c r="C5" s="6" t="s">
        <v>7</v>
      </c>
      <c r="D5" s="5" t="s">
        <v>9</v>
      </c>
      <c r="E5" s="5" t="s">
        <v>8</v>
      </c>
      <c r="F5" s="6" t="s">
        <v>10</v>
      </c>
      <c r="G5" s="5" t="s">
        <v>11</v>
      </c>
      <c r="H5" s="5" t="s">
        <v>12</v>
      </c>
      <c r="I5" s="7" t="s">
        <v>13</v>
      </c>
      <c r="J5" s="5" t="s">
        <v>9</v>
      </c>
      <c r="K5" s="5" t="s">
        <v>8</v>
      </c>
      <c r="L5" s="6" t="s">
        <v>10</v>
      </c>
      <c r="M5" s="5" t="s">
        <v>11</v>
      </c>
      <c r="N5" s="5" t="s">
        <v>12</v>
      </c>
      <c r="O5" s="5" t="s">
        <v>14</v>
      </c>
      <c r="P5" s="5" t="s">
        <v>16</v>
      </c>
    </row>
    <row r="6" spans="2:16">
      <c r="B6" s="3">
        <v>1</v>
      </c>
      <c r="C6" s="11" t="str">
        <f>IF(B6="","-",VLOOKUP(B6,AgentSector!$B$3:$D$30,3,TRUE))</f>
        <v>Agent</v>
      </c>
      <c r="D6" s="15" t="s">
        <v>18</v>
      </c>
      <c r="E6" s="28" t="s">
        <v>408</v>
      </c>
      <c r="F6" s="20" t="s">
        <v>423</v>
      </c>
      <c r="G6" s="34" t="s">
        <v>425</v>
      </c>
      <c r="H6" s="24" t="s">
        <v>53</v>
      </c>
      <c r="I6" s="120" t="s">
        <v>422</v>
      </c>
      <c r="J6" s="17"/>
      <c r="K6" s="32"/>
      <c r="L6" s="22"/>
      <c r="M6" s="30"/>
      <c r="N6" s="26"/>
      <c r="O6" s="13" t="str">
        <f>IF(P6="","-",VLOOKUP(P6,AgentSector!$B$3:$D$30,3,TRUE))</f>
        <v>-</v>
      </c>
      <c r="P6" s="3"/>
    </row>
    <row r="7" spans="2:16">
      <c r="B7" s="4">
        <v>1</v>
      </c>
      <c r="C7" s="12" t="str">
        <f>IF(B7="","-",VLOOKUP(B7,AgentSector!$B$3:$D$30,3,TRUE))</f>
        <v>Agent</v>
      </c>
      <c r="D7" s="16" t="s">
        <v>18</v>
      </c>
      <c r="E7" s="29" t="s">
        <v>421</v>
      </c>
      <c r="F7" s="21" t="s">
        <v>438</v>
      </c>
      <c r="G7" s="35" t="s">
        <v>407</v>
      </c>
      <c r="H7" s="25" t="s">
        <v>18</v>
      </c>
      <c r="I7" s="19" t="s">
        <v>437</v>
      </c>
      <c r="J7" s="18"/>
      <c r="K7" s="33"/>
      <c r="L7" s="23"/>
      <c r="M7" s="31"/>
      <c r="N7" s="27"/>
      <c r="O7" s="14" t="str">
        <f>IF(P7="","-",VLOOKUP(P7,AgentSector!$B$3:$D$30,3,TRUE))</f>
        <v>-</v>
      </c>
      <c r="P7" s="4"/>
    </row>
    <row r="8" spans="2:16">
      <c r="B8" s="4">
        <v>1</v>
      </c>
      <c r="C8" s="12" t="str">
        <f>IF(B8="","-",VLOOKUP(B8,AgentSector!$B$3:$D$30,3,TRUE))</f>
        <v>Agent</v>
      </c>
      <c r="D8" s="16" t="s">
        <v>18</v>
      </c>
      <c r="E8" s="29" t="s">
        <v>407</v>
      </c>
      <c r="F8" s="21" t="s">
        <v>430</v>
      </c>
      <c r="G8" s="35" t="s">
        <v>421</v>
      </c>
      <c r="H8" s="25" t="s">
        <v>18</v>
      </c>
      <c r="I8" s="19" t="s">
        <v>426</v>
      </c>
      <c r="J8" s="18"/>
      <c r="K8" s="33"/>
      <c r="L8" s="23"/>
      <c r="M8" s="31"/>
      <c r="N8" s="27"/>
      <c r="O8" s="14" t="str">
        <f>IF(P8="","-",VLOOKUP(P8,AgentSector!$B$3:$D$30,3,TRUE))</f>
        <v>-</v>
      </c>
      <c r="P8" s="4"/>
    </row>
    <row r="9" spans="2:16">
      <c r="B9" s="4">
        <v>40</v>
      </c>
      <c r="C9" s="12" t="str">
        <f>IF(B9="","-",VLOOKUP(B9,AgentSector!$B$3:$D$30,3,TRUE))</f>
        <v>Employer</v>
      </c>
      <c r="D9" s="16" t="s">
        <v>18</v>
      </c>
      <c r="E9" s="29" t="s">
        <v>474</v>
      </c>
      <c r="F9" s="21" t="s">
        <v>436</v>
      </c>
      <c r="G9" s="35" t="s">
        <v>407</v>
      </c>
      <c r="H9" s="25" t="s">
        <v>18</v>
      </c>
      <c r="I9" s="19" t="s">
        <v>435</v>
      </c>
      <c r="J9" s="18"/>
      <c r="K9" s="33"/>
      <c r="L9" s="23"/>
      <c r="M9" s="31"/>
      <c r="N9" s="27"/>
      <c r="O9" s="14" t="str">
        <f>IF(P9="","-",VLOOKUP(P9,AgentSector!$B$3:$D$30,3,TRUE))</f>
        <v>-</v>
      </c>
      <c r="P9" s="4"/>
    </row>
    <row r="10" spans="2:16">
      <c r="B10" s="4">
        <v>40</v>
      </c>
      <c r="C10" s="12" t="str">
        <f>IF(B10="","-",VLOOKUP(B10,AgentSector!$B$3:$D$30,3,TRUE))</f>
        <v>Employer</v>
      </c>
      <c r="D10" s="16" t="s">
        <v>18</v>
      </c>
      <c r="E10" s="29" t="s">
        <v>428</v>
      </c>
      <c r="F10" s="21" t="s">
        <v>432</v>
      </c>
      <c r="G10" s="35" t="s">
        <v>407</v>
      </c>
      <c r="H10" s="25" t="s">
        <v>18</v>
      </c>
      <c r="I10" s="19" t="s">
        <v>577</v>
      </c>
      <c r="J10" s="18"/>
      <c r="K10" s="33"/>
      <c r="L10" s="23"/>
      <c r="M10" s="31"/>
      <c r="N10" s="27"/>
      <c r="O10" s="14" t="str">
        <f>IF(P10="","-",VLOOKUP(P10,AgentSector!$B$3:$D$30,3,TRUE))</f>
        <v>-</v>
      </c>
      <c r="P10" s="4"/>
    </row>
    <row r="11" spans="2:16">
      <c r="B11" s="4">
        <v>20</v>
      </c>
      <c r="C11" s="12" t="str">
        <f>IF(B11="","-",VLOOKUP(B11,AgentSector!$B$3:$D$30,3,TRUE))</f>
        <v>Firm</v>
      </c>
      <c r="D11" s="16" t="s">
        <v>18</v>
      </c>
      <c r="E11" s="29" t="s">
        <v>434</v>
      </c>
      <c r="F11" s="21" t="s">
        <v>440</v>
      </c>
      <c r="G11" s="35" t="s">
        <v>407</v>
      </c>
      <c r="H11" s="25" t="s">
        <v>18</v>
      </c>
      <c r="I11" s="19" t="s">
        <v>439</v>
      </c>
      <c r="J11" s="18"/>
      <c r="K11" s="33"/>
      <c r="L11" s="23"/>
      <c r="M11" s="31"/>
      <c r="N11" s="27"/>
      <c r="O11" s="14" t="str">
        <f>IF(P11="","-",VLOOKUP(P11,AgentSector!$B$3:$D$30,3,TRUE))</f>
        <v>-</v>
      </c>
      <c r="P11" s="4"/>
    </row>
    <row r="12" spans="2:16">
      <c r="B12" s="4">
        <v>20</v>
      </c>
      <c r="C12" s="12" t="str">
        <f>IF(B12="","-",VLOOKUP(B12,AgentSector!$B$3:$D$30,3,TRUE))</f>
        <v>Firm</v>
      </c>
      <c r="D12" s="16" t="s">
        <v>18</v>
      </c>
      <c r="E12" s="29" t="s">
        <v>442</v>
      </c>
      <c r="F12" s="21" t="s">
        <v>444</v>
      </c>
      <c r="G12" s="35" t="s">
        <v>407</v>
      </c>
      <c r="H12" s="25" t="s">
        <v>18</v>
      </c>
      <c r="I12" s="19" t="s">
        <v>443</v>
      </c>
      <c r="J12" s="18"/>
      <c r="K12" s="33"/>
      <c r="L12" s="23"/>
      <c r="M12" s="31"/>
      <c r="N12" s="27"/>
      <c r="O12" s="14" t="str">
        <f>IF(P12="","-",VLOOKUP(P12,AgentSector!$B$3:$D$30,3,TRUE))</f>
        <v>-</v>
      </c>
      <c r="P12" s="4"/>
    </row>
    <row r="13" spans="2:16">
      <c r="B13" s="4">
        <v>90</v>
      </c>
      <c r="C13" s="12" t="str">
        <f>IF(B13="","-",VLOOKUP(B13,AgentSector!$B$3:$D$30,3,TRUE))</f>
        <v>Government</v>
      </c>
      <c r="D13" s="16" t="s">
        <v>18</v>
      </c>
      <c r="E13" s="29" t="s">
        <v>446</v>
      </c>
      <c r="F13" s="21" t="s">
        <v>448</v>
      </c>
      <c r="G13" s="35" t="s">
        <v>407</v>
      </c>
      <c r="H13" s="25" t="s">
        <v>18</v>
      </c>
      <c r="I13" s="19" t="s">
        <v>447</v>
      </c>
      <c r="J13" s="18"/>
      <c r="K13" s="33"/>
      <c r="L13" s="23"/>
      <c r="M13" s="31"/>
      <c r="N13" s="27"/>
      <c r="O13" s="14" t="str">
        <f>IF(P13="","-",VLOOKUP(P13,AgentSector!$B$3:$D$30,3,TRUE))</f>
        <v>-</v>
      </c>
      <c r="P13" s="4"/>
    </row>
    <row r="14" spans="2:16">
      <c r="B14" s="4">
        <v>90</v>
      </c>
      <c r="C14" s="12" t="str">
        <f>IF(B14="","-",VLOOKUP(B14,AgentSector!$B$3:$D$30,3,TRUE))</f>
        <v>Government</v>
      </c>
      <c r="D14" s="16" t="s">
        <v>18</v>
      </c>
      <c r="E14" s="29" t="s">
        <v>450</v>
      </c>
      <c r="F14" s="21" t="s">
        <v>452</v>
      </c>
      <c r="G14" s="35" t="s">
        <v>407</v>
      </c>
      <c r="H14" s="25" t="s">
        <v>18</v>
      </c>
      <c r="I14" s="19" t="s">
        <v>451</v>
      </c>
      <c r="J14" s="18"/>
      <c r="K14" s="33"/>
      <c r="L14" s="23"/>
      <c r="M14" s="31"/>
      <c r="N14" s="27"/>
      <c r="O14" s="14" t="str">
        <f>IF(P14="","-",VLOOKUP(P14,AgentSector!$B$3:$D$30,3,TRUE))</f>
        <v>-</v>
      </c>
      <c r="P14" s="4"/>
    </row>
    <row r="15" spans="2:16">
      <c r="B15" s="4">
        <v>1</v>
      </c>
      <c r="C15" s="12" t="str">
        <f>IF(B15="","-",VLOOKUP(B15,AgentSector!$B$3:$D$30,3,TRUE))</f>
        <v>Agent</v>
      </c>
      <c r="D15" s="16" t="s">
        <v>18</v>
      </c>
      <c r="E15" s="29" t="s">
        <v>498</v>
      </c>
      <c r="F15" s="21" t="s">
        <v>454</v>
      </c>
      <c r="G15" s="35" t="s">
        <v>407</v>
      </c>
      <c r="H15" s="25" t="s">
        <v>18</v>
      </c>
      <c r="I15" s="19" t="s">
        <v>453</v>
      </c>
      <c r="J15" s="18"/>
      <c r="K15" s="33"/>
      <c r="L15" s="23"/>
      <c r="M15" s="31"/>
      <c r="N15" s="27"/>
      <c r="O15" s="14" t="str">
        <f>IF(P15="","-",VLOOKUP(P15,AgentSector!$B$3:$D$30,3,TRUE))</f>
        <v>-</v>
      </c>
      <c r="P15" s="4"/>
    </row>
    <row r="16" spans="2:16">
      <c r="B16" s="4">
        <v>90</v>
      </c>
      <c r="C16" s="12" t="str">
        <f>IF(B16="","-",VLOOKUP(B16,AgentSector!$B$3:$D$30,3,TRUE))</f>
        <v>Government</v>
      </c>
      <c r="D16" s="16" t="s">
        <v>18</v>
      </c>
      <c r="E16" s="29" t="s">
        <v>421</v>
      </c>
      <c r="F16" s="21" t="s">
        <v>456</v>
      </c>
      <c r="G16" s="35" t="s">
        <v>446</v>
      </c>
      <c r="H16" s="25" t="s">
        <v>18</v>
      </c>
      <c r="I16" s="19" t="s">
        <v>455</v>
      </c>
      <c r="J16" s="18"/>
      <c r="K16" s="33"/>
      <c r="L16" s="23"/>
      <c r="M16" s="31"/>
      <c r="N16" s="27"/>
      <c r="O16" s="14" t="str">
        <f>IF(P16="","-",VLOOKUP(P16,AgentSector!$B$3:$D$30,3,TRUE))</f>
        <v>-</v>
      </c>
      <c r="P16" s="4"/>
    </row>
    <row r="17" spans="2:16">
      <c r="B17" s="4">
        <v>20</v>
      </c>
      <c r="C17" s="12" t="str">
        <f>IF(B17="","-",VLOOKUP(B17,AgentSector!$B$3:$D$30,3,TRUE))</f>
        <v>Firm</v>
      </c>
      <c r="D17" s="16" t="s">
        <v>23</v>
      </c>
      <c r="E17" s="29" t="s">
        <v>458</v>
      </c>
      <c r="F17" s="21" t="s">
        <v>462</v>
      </c>
      <c r="G17" s="35" t="s">
        <v>460</v>
      </c>
      <c r="H17" s="25" t="s">
        <v>20</v>
      </c>
      <c r="I17" s="19" t="s">
        <v>461</v>
      </c>
      <c r="J17" s="18"/>
      <c r="K17" s="33"/>
      <c r="L17" s="23"/>
      <c r="M17" s="31"/>
      <c r="N17" s="27"/>
      <c r="O17" s="14" t="str">
        <f>IF(P17="","-",VLOOKUP(P17,AgentSector!$B$3:$D$30,3,TRUE))</f>
        <v>-</v>
      </c>
      <c r="P17" s="4"/>
    </row>
    <row r="18" spans="2:16">
      <c r="B18" s="4">
        <v>20</v>
      </c>
      <c r="C18" s="12" t="str">
        <f>IF(B18="","-",VLOOKUP(B18,AgentSector!$B$3:$D$30,3,TRUE))</f>
        <v>Firm</v>
      </c>
      <c r="D18" s="16" t="s">
        <v>23</v>
      </c>
      <c r="E18" s="29" t="s">
        <v>464</v>
      </c>
      <c r="F18" s="21" t="s">
        <v>466</v>
      </c>
      <c r="G18" s="35" t="s">
        <v>458</v>
      </c>
      <c r="H18" s="25" t="s">
        <v>23</v>
      </c>
      <c r="I18" s="19" t="s">
        <v>465</v>
      </c>
      <c r="J18" s="18"/>
      <c r="K18" s="33"/>
      <c r="L18" s="23"/>
      <c r="M18" s="31"/>
      <c r="N18" s="27"/>
      <c r="O18" s="14" t="str">
        <f>IF(P18="","-",VLOOKUP(P18,AgentSector!$B$3:$D$30,3,TRUE))</f>
        <v>-</v>
      </c>
      <c r="P18" s="4"/>
    </row>
    <row r="19" spans="2:16">
      <c r="B19" s="4">
        <v>20</v>
      </c>
      <c r="C19" s="12" t="str">
        <f>IF(B19="","-",VLOOKUP(B19,AgentSector!$B$3:$D$30,3,TRUE))</f>
        <v>Firm</v>
      </c>
      <c r="D19" s="16" t="s">
        <v>18</v>
      </c>
      <c r="E19" s="29" t="s">
        <v>468</v>
      </c>
      <c r="F19" s="21" t="s">
        <v>470</v>
      </c>
      <c r="G19" s="35" t="s">
        <v>464</v>
      </c>
      <c r="H19" s="25" t="s">
        <v>23</v>
      </c>
      <c r="I19" s="19" t="s">
        <v>469</v>
      </c>
      <c r="J19" s="18"/>
      <c r="K19" s="33"/>
      <c r="L19" s="23"/>
      <c r="M19" s="31"/>
      <c r="N19" s="27"/>
      <c r="O19" s="14" t="str">
        <f>IF(P19="","-",VLOOKUP(P19,AgentSector!$B$3:$D$30,3,TRUE))</f>
        <v>-</v>
      </c>
      <c r="P19" s="4"/>
    </row>
    <row r="20" spans="2:16">
      <c r="B20" s="4">
        <v>40</v>
      </c>
      <c r="C20" s="12" t="str">
        <f>IF(B20="","-",VLOOKUP(B20,AgentSector!$B$3:$D$30,3,TRUE))</f>
        <v>Employer</v>
      </c>
      <c r="D20" s="16" t="s">
        <v>20</v>
      </c>
      <c r="E20" s="29" t="s">
        <v>460</v>
      </c>
      <c r="F20" s="21" t="s">
        <v>472</v>
      </c>
      <c r="G20" s="35" t="s">
        <v>474</v>
      </c>
      <c r="H20" s="25" t="s">
        <v>18</v>
      </c>
      <c r="I20" s="19" t="s">
        <v>471</v>
      </c>
      <c r="J20" s="18" t="s">
        <v>18</v>
      </c>
      <c r="K20" s="33" t="s">
        <v>407</v>
      </c>
      <c r="L20" s="23" t="s">
        <v>478</v>
      </c>
      <c r="M20" s="31" t="s">
        <v>480</v>
      </c>
      <c r="N20" s="27" t="s">
        <v>54</v>
      </c>
      <c r="O20" s="14" t="str">
        <f>IF(P20="","-",VLOOKUP(P20,AgentSector!$B$3:$D$30,3,TRUE))</f>
        <v>Household</v>
      </c>
      <c r="P20" s="4">
        <v>10</v>
      </c>
    </row>
    <row r="21" spans="2:16">
      <c r="B21" s="4">
        <v>40</v>
      </c>
      <c r="C21" s="12" t="str">
        <f>IF(B21="","-",VLOOKUP(B21,AgentSector!$B$3:$D$30,3,TRUE))</f>
        <v>Employer</v>
      </c>
      <c r="D21" s="16" t="s">
        <v>20</v>
      </c>
      <c r="E21" s="29" t="s">
        <v>486</v>
      </c>
      <c r="F21" s="21" t="s">
        <v>476</v>
      </c>
      <c r="G21" s="35" t="s">
        <v>428</v>
      </c>
      <c r="H21" s="25" t="s">
        <v>18</v>
      </c>
      <c r="I21" s="19" t="s">
        <v>475</v>
      </c>
      <c r="J21" s="18" t="s">
        <v>18</v>
      </c>
      <c r="K21" s="33" t="s">
        <v>408</v>
      </c>
      <c r="L21" s="23" t="s">
        <v>482</v>
      </c>
      <c r="M21" s="31" t="s">
        <v>484</v>
      </c>
      <c r="N21" s="27" t="s">
        <v>54</v>
      </c>
      <c r="O21" s="14" t="str">
        <f>IF(P21="","-",VLOOKUP(P21,AgentSector!$B$3:$D$30,3,TRUE))</f>
        <v>Household</v>
      </c>
      <c r="P21" s="4">
        <v>10</v>
      </c>
    </row>
    <row r="22" spans="2:16">
      <c r="B22" s="4">
        <v>90</v>
      </c>
      <c r="C22" s="12" t="str">
        <f>IF(B22="","-",VLOOKUP(B22,AgentSector!$B$3:$D$30,3,TRUE))</f>
        <v>Government</v>
      </c>
      <c r="D22" s="16" t="s">
        <v>23</v>
      </c>
      <c r="E22" s="29" t="s">
        <v>576</v>
      </c>
      <c r="F22" s="21" t="s">
        <v>488</v>
      </c>
      <c r="G22" s="35" t="s">
        <v>450</v>
      </c>
      <c r="H22" s="25" t="s">
        <v>18</v>
      </c>
      <c r="I22" s="19" t="s">
        <v>487</v>
      </c>
      <c r="J22" s="18" t="s">
        <v>18</v>
      </c>
      <c r="K22" s="33" t="s">
        <v>407</v>
      </c>
      <c r="L22" s="23" t="s">
        <v>490</v>
      </c>
      <c r="M22" s="31" t="s">
        <v>492</v>
      </c>
      <c r="N22" s="27" t="s">
        <v>54</v>
      </c>
      <c r="O22" s="14" t="str">
        <f>IF(P22="","-",VLOOKUP(P22,AgentSector!$B$3:$D$30,3,TRUE))</f>
        <v>Firm</v>
      </c>
      <c r="P22" s="4">
        <v>20</v>
      </c>
    </row>
    <row r="23" spans="2:16">
      <c r="B23" s="4">
        <v>20</v>
      </c>
      <c r="C23" s="12" t="str">
        <f>IF(B23="","-",VLOOKUP(B23,AgentSector!$B$3:$D$30,3,TRUE))</f>
        <v>Firm</v>
      </c>
      <c r="D23" s="16" t="s">
        <v>20</v>
      </c>
      <c r="E23" s="29" t="s">
        <v>496</v>
      </c>
      <c r="F23" s="21" t="s">
        <v>494</v>
      </c>
      <c r="G23" s="35" t="s">
        <v>498</v>
      </c>
      <c r="H23" s="25" t="s">
        <v>18</v>
      </c>
      <c r="I23" s="19" t="s">
        <v>493</v>
      </c>
      <c r="J23" s="18" t="s">
        <v>18</v>
      </c>
      <c r="K23" s="33" t="s">
        <v>408</v>
      </c>
      <c r="L23" s="23" t="s">
        <v>508</v>
      </c>
      <c r="M23" s="31" t="s">
        <v>510</v>
      </c>
      <c r="N23" s="27" t="s">
        <v>54</v>
      </c>
      <c r="O23" s="14" t="str">
        <f>IF(P23="","-",VLOOKUP(P23,AgentSector!$B$3:$D$30,3,TRUE))</f>
        <v>Government</v>
      </c>
      <c r="P23" s="4">
        <v>90</v>
      </c>
    </row>
    <row r="24" spans="2:16">
      <c r="B24" s="4">
        <v>10</v>
      </c>
      <c r="C24" s="12" t="str">
        <f>IF(B24="","-",VLOOKUP(B24,AgentSector!$B$3:$D$30,3,TRUE))</f>
        <v>Household</v>
      </c>
      <c r="D24" s="16" t="s">
        <v>20</v>
      </c>
      <c r="E24" s="29" t="s">
        <v>500</v>
      </c>
      <c r="F24" s="21" t="s">
        <v>502</v>
      </c>
      <c r="G24" s="35" t="s">
        <v>498</v>
      </c>
      <c r="H24" s="25" t="s">
        <v>18</v>
      </c>
      <c r="I24" s="19" t="s">
        <v>578</v>
      </c>
      <c r="J24" s="18" t="s">
        <v>18</v>
      </c>
      <c r="K24" s="33" t="s">
        <v>408</v>
      </c>
      <c r="L24" s="23" t="s">
        <v>504</v>
      </c>
      <c r="M24" s="31" t="s">
        <v>506</v>
      </c>
      <c r="N24" s="27" t="s">
        <v>54</v>
      </c>
      <c r="O24" s="14" t="str">
        <f>IF(P24="","-",VLOOKUP(P24,AgentSector!$B$3:$D$30,3,TRUE))</f>
        <v>Government</v>
      </c>
      <c r="P24" s="4">
        <v>90</v>
      </c>
    </row>
    <row r="25" spans="2:16">
      <c r="B25" s="4">
        <v>20</v>
      </c>
      <c r="C25" s="12" t="str">
        <f>IF(B25="","-",VLOOKUP(B25,AgentSector!$B$3:$D$30,3,TRUE))</f>
        <v>Firm</v>
      </c>
      <c r="D25" s="16" t="s">
        <v>18</v>
      </c>
      <c r="E25" s="29" t="s">
        <v>407</v>
      </c>
      <c r="F25" s="21" t="s">
        <v>512</v>
      </c>
      <c r="G25" s="35" t="s">
        <v>514</v>
      </c>
      <c r="H25" s="25" t="s">
        <v>20</v>
      </c>
      <c r="I25" s="19" t="s">
        <v>511</v>
      </c>
      <c r="J25" s="18" t="s">
        <v>18</v>
      </c>
      <c r="K25" s="33" t="s">
        <v>532</v>
      </c>
      <c r="L25" s="23" t="s">
        <v>536</v>
      </c>
      <c r="M25" s="31" t="s">
        <v>407</v>
      </c>
      <c r="N25" s="27" t="s">
        <v>18</v>
      </c>
      <c r="O25" s="14" t="str">
        <f>IF(P25="","-",VLOOKUP(P25,AgentSector!$B$3:$D$30,3,TRUE))</f>
        <v>Bank</v>
      </c>
      <c r="P25" s="4">
        <v>30</v>
      </c>
    </row>
    <row r="26" spans="2:16">
      <c r="B26" s="4">
        <v>20</v>
      </c>
      <c r="C26" s="12" t="str">
        <f>IF(B26="","-",VLOOKUP(B26,AgentSector!$B$3:$D$30,3,TRUE))</f>
        <v>Firm</v>
      </c>
      <c r="D26" s="16" t="s">
        <v>18</v>
      </c>
      <c r="E26" s="29" t="s">
        <v>407</v>
      </c>
      <c r="F26" s="21" t="s">
        <v>526</v>
      </c>
      <c r="G26" s="35" t="s">
        <v>524</v>
      </c>
      <c r="H26" s="25" t="s">
        <v>20</v>
      </c>
      <c r="I26" s="19" t="s">
        <v>525</v>
      </c>
      <c r="J26" s="18" t="s">
        <v>18</v>
      </c>
      <c r="K26" s="33" t="s">
        <v>534</v>
      </c>
      <c r="L26" s="23" t="s">
        <v>538</v>
      </c>
      <c r="M26" s="31" t="s">
        <v>407</v>
      </c>
      <c r="N26" s="27" t="s">
        <v>18</v>
      </c>
      <c r="O26" s="14" t="str">
        <f>IF(P26="","-",VLOOKUP(P26,AgentSector!$B$3:$D$30,3,TRUE))</f>
        <v>Bank</v>
      </c>
      <c r="P26" s="4">
        <v>30</v>
      </c>
    </row>
    <row r="27" spans="2:16">
      <c r="B27" s="4">
        <v>20</v>
      </c>
      <c r="C27" s="12" t="str">
        <f>IF(B27="","-",VLOOKUP(B27,AgentSector!$B$3:$D$30,3,TRUE))</f>
        <v>Firm</v>
      </c>
      <c r="D27" s="16" t="s">
        <v>23</v>
      </c>
      <c r="E27" s="29" t="s">
        <v>516</v>
      </c>
      <c r="F27" s="21" t="s">
        <v>518</v>
      </c>
      <c r="G27" s="35" t="s">
        <v>408</v>
      </c>
      <c r="H27" s="25" t="s">
        <v>18</v>
      </c>
      <c r="I27" s="19" t="s">
        <v>517</v>
      </c>
      <c r="J27" s="18" t="s">
        <v>18</v>
      </c>
      <c r="K27" s="33" t="s">
        <v>407</v>
      </c>
      <c r="L27" s="23" t="s">
        <v>520</v>
      </c>
      <c r="M27" s="31" t="s">
        <v>522</v>
      </c>
      <c r="N27" s="27" t="s">
        <v>54</v>
      </c>
      <c r="O27" s="14" t="str">
        <f>IF(P27="","-",VLOOKUP(P27,AgentSector!$B$3:$D$30,3,TRUE))</f>
        <v>Bank</v>
      </c>
      <c r="P27" s="4">
        <v>30</v>
      </c>
    </row>
    <row r="28" spans="2:16">
      <c r="B28" s="4">
        <v>20</v>
      </c>
      <c r="C28" s="12" t="str">
        <f>IF(B28="","-",VLOOKUP(B28,AgentSector!$B$3:$D$30,3,TRUE))</f>
        <v>Firm</v>
      </c>
      <c r="D28" s="16" t="s">
        <v>20</v>
      </c>
      <c r="E28" s="29" t="s">
        <v>514</v>
      </c>
      <c r="F28" s="21" t="s">
        <v>528</v>
      </c>
      <c r="G28" s="35" t="s">
        <v>434</v>
      </c>
      <c r="H28" s="25" t="s">
        <v>18</v>
      </c>
      <c r="I28" s="19" t="s">
        <v>527</v>
      </c>
      <c r="J28" s="18" t="s">
        <v>18</v>
      </c>
      <c r="K28" s="33" t="s">
        <v>407</v>
      </c>
      <c r="L28" s="23" t="s">
        <v>540</v>
      </c>
      <c r="M28" s="31" t="s">
        <v>532</v>
      </c>
      <c r="N28" s="27" t="s">
        <v>18</v>
      </c>
      <c r="O28" s="14" t="str">
        <f>IF(P28="","-",VLOOKUP(P28,AgentSector!$B$3:$D$30,3,TRUE))</f>
        <v>Bank</v>
      </c>
      <c r="P28" s="4">
        <v>30</v>
      </c>
    </row>
    <row r="29" spans="2:16">
      <c r="B29" s="4">
        <v>20</v>
      </c>
      <c r="C29" s="12" t="str">
        <f>IF(B29="","-",VLOOKUP(B29,AgentSector!$B$3:$D$30,3,TRUE))</f>
        <v>Firm</v>
      </c>
      <c r="D29" s="16" t="s">
        <v>20</v>
      </c>
      <c r="E29" s="29" t="s">
        <v>524</v>
      </c>
      <c r="F29" s="21" t="s">
        <v>530</v>
      </c>
      <c r="G29" s="35" t="s">
        <v>434</v>
      </c>
      <c r="H29" s="25" t="s">
        <v>18</v>
      </c>
      <c r="I29" s="19" t="s">
        <v>529</v>
      </c>
      <c r="J29" s="18" t="s">
        <v>18</v>
      </c>
      <c r="K29" s="33" t="s">
        <v>407</v>
      </c>
      <c r="L29" s="23" t="s">
        <v>542</v>
      </c>
      <c r="M29" s="31" t="s">
        <v>534</v>
      </c>
      <c r="N29" s="27" t="s">
        <v>18</v>
      </c>
      <c r="O29" s="14" t="str">
        <f>IF(P29="","-",VLOOKUP(P29,AgentSector!$B$3:$D$30,3,TRUE))</f>
        <v>Bank</v>
      </c>
      <c r="P29" s="4">
        <v>30</v>
      </c>
    </row>
    <row r="30" spans="2:16">
      <c r="B30" s="4">
        <v>1</v>
      </c>
      <c r="C30" s="12" t="str">
        <f>IF(B30="","-",VLOOKUP(B30,AgentSector!$B$3:$D$30,3,TRUE))</f>
        <v>Agent</v>
      </c>
      <c r="D30" s="16" t="s">
        <v>18</v>
      </c>
      <c r="E30" s="29" t="s">
        <v>544</v>
      </c>
      <c r="F30" s="21" t="s">
        <v>546</v>
      </c>
      <c r="G30" s="35" t="s">
        <v>407</v>
      </c>
      <c r="H30" s="25" t="s">
        <v>18</v>
      </c>
      <c r="I30" s="19" t="s">
        <v>545</v>
      </c>
      <c r="J30" s="18" t="s">
        <v>18</v>
      </c>
      <c r="K30" s="33" t="s">
        <v>407</v>
      </c>
      <c r="L30" s="23" t="s">
        <v>550</v>
      </c>
      <c r="M30" s="31" t="s">
        <v>548</v>
      </c>
      <c r="N30" s="27" t="s">
        <v>20</v>
      </c>
      <c r="O30" s="14" t="str">
        <f>IF(P30="","-",VLOOKUP(P30,AgentSector!$B$3:$D$30,3,TRUE))</f>
        <v>Bank</v>
      </c>
      <c r="P30" s="4">
        <v>30</v>
      </c>
    </row>
    <row r="31" spans="2:16">
      <c r="B31" s="4">
        <v>1</v>
      </c>
      <c r="C31" s="12" t="str">
        <f>IF(B31="","-",VLOOKUP(B31,AgentSector!$B$3:$D$30,3,TRUE))</f>
        <v>Agent</v>
      </c>
      <c r="D31" s="16" t="s">
        <v>18</v>
      </c>
      <c r="E31" s="29" t="s">
        <v>407</v>
      </c>
      <c r="F31" s="21" t="s">
        <v>552</v>
      </c>
      <c r="G31" s="35" t="s">
        <v>544</v>
      </c>
      <c r="H31" s="25" t="s">
        <v>18</v>
      </c>
      <c r="I31" s="19" t="s">
        <v>551</v>
      </c>
      <c r="J31" s="18" t="s">
        <v>20</v>
      </c>
      <c r="K31" s="33" t="s">
        <v>548</v>
      </c>
      <c r="L31" s="23" t="s">
        <v>552</v>
      </c>
      <c r="M31" s="31" t="s">
        <v>408</v>
      </c>
      <c r="N31" s="27" t="s">
        <v>18</v>
      </c>
      <c r="O31" s="14" t="str">
        <f>IF(P31="","-",VLOOKUP(P31,AgentSector!$B$3:$D$30,3,TRUE))</f>
        <v>Bank</v>
      </c>
      <c r="P31" s="4">
        <v>30</v>
      </c>
    </row>
    <row r="32" spans="2:16">
      <c r="B32" s="4">
        <v>30</v>
      </c>
      <c r="C32" s="12" t="str">
        <f>IF(B32="","-",VLOOKUP(B32,AgentSector!$B$3:$D$30,3,TRUE))</f>
        <v>Bank</v>
      </c>
      <c r="D32" s="16" t="s">
        <v>23</v>
      </c>
      <c r="E32" s="29" t="s">
        <v>554</v>
      </c>
      <c r="F32" s="21" t="s">
        <v>556</v>
      </c>
      <c r="G32" s="35" t="s">
        <v>408</v>
      </c>
      <c r="H32" s="25" t="s">
        <v>18</v>
      </c>
      <c r="I32" s="19" t="s">
        <v>555</v>
      </c>
      <c r="J32" s="18" t="s">
        <v>18</v>
      </c>
      <c r="K32" s="33" t="s">
        <v>407</v>
      </c>
      <c r="L32" s="23" t="s">
        <v>558</v>
      </c>
      <c r="M32" s="31" t="s">
        <v>560</v>
      </c>
      <c r="N32" s="27" t="s">
        <v>54</v>
      </c>
      <c r="O32" s="14" t="str">
        <f>IF(P32="","-",VLOOKUP(P32,AgentSector!$B$3:$D$30,3,TRUE))</f>
        <v>Agent</v>
      </c>
      <c r="P32" s="4">
        <v>1</v>
      </c>
    </row>
    <row r="33" spans="2:16">
      <c r="B33" s="4">
        <v>90</v>
      </c>
      <c r="C33" s="12" t="str">
        <f>IF(B33="","-",VLOOKUP(B33,AgentSector!$B$3:$D$30,3,TRUE))</f>
        <v>Government</v>
      </c>
      <c r="D33" s="16" t="s">
        <v>23</v>
      </c>
      <c r="E33" s="29" t="s">
        <v>562</v>
      </c>
      <c r="F33" s="21" t="s">
        <v>564</v>
      </c>
      <c r="G33" s="35" t="s">
        <v>421</v>
      </c>
      <c r="H33" s="25" t="s">
        <v>18</v>
      </c>
      <c r="I33" s="19" t="s">
        <v>572</v>
      </c>
      <c r="J33" s="18" t="s">
        <v>23</v>
      </c>
      <c r="K33" s="33" t="s">
        <v>566</v>
      </c>
      <c r="L33" s="23" t="s">
        <v>574</v>
      </c>
      <c r="M33" s="31" t="s">
        <v>468</v>
      </c>
      <c r="N33" s="27" t="s">
        <v>18</v>
      </c>
      <c r="O33" s="14" t="str">
        <f>IF(P33="","-",VLOOKUP(P33,AgentSector!$B$3:$D$30,3,TRUE))</f>
        <v>Firm</v>
      </c>
      <c r="P33" s="4">
        <v>20</v>
      </c>
    </row>
    <row r="34" spans="2:16">
      <c r="B34" s="4"/>
      <c r="C34" s="12" t="str">
        <f>IF(B34="","-",VLOOKUP(B34,AgentSector!$B$3:$D$30,3,TRUE))</f>
        <v>-</v>
      </c>
      <c r="D34" s="16"/>
      <c r="E34" s="29"/>
      <c r="F34" s="21"/>
      <c r="G34" s="35"/>
      <c r="H34" s="25"/>
      <c r="I34" s="19"/>
      <c r="J34" s="18" t="s">
        <v>18</v>
      </c>
      <c r="K34" s="33" t="s">
        <v>407</v>
      </c>
      <c r="L34" s="23" t="s">
        <v>574</v>
      </c>
      <c r="M34" s="31" t="s">
        <v>570</v>
      </c>
      <c r="N34" s="27" t="s">
        <v>54</v>
      </c>
      <c r="O34" s="14" t="str">
        <f>IF(P34="","-",VLOOKUP(P34,AgentSector!$B$3:$D$30,3,TRUE))</f>
        <v>Firm</v>
      </c>
      <c r="P34" s="4">
        <v>20</v>
      </c>
    </row>
    <row r="35" spans="2:16">
      <c r="B35" s="4">
        <v>10</v>
      </c>
      <c r="C35" s="12" t="str">
        <f>IF(B35="","-",VLOOKUP(B35,AgentSector!$B$3:$D$30,3,TRUE))</f>
        <v>Household</v>
      </c>
      <c r="D35" s="16" t="s">
        <v>23</v>
      </c>
      <c r="E35" s="29" t="s">
        <v>562</v>
      </c>
      <c r="F35" s="21" t="s">
        <v>564</v>
      </c>
      <c r="G35" s="35" t="s">
        <v>421</v>
      </c>
      <c r="H35" s="25" t="s">
        <v>18</v>
      </c>
      <c r="I35" s="19" t="s">
        <v>571</v>
      </c>
      <c r="J35" s="18" t="s">
        <v>23</v>
      </c>
      <c r="K35" s="33" t="s">
        <v>566</v>
      </c>
      <c r="L35" s="23" t="s">
        <v>574</v>
      </c>
      <c r="M35" s="31" t="s">
        <v>468</v>
      </c>
      <c r="N35" s="27" t="s">
        <v>18</v>
      </c>
      <c r="O35" s="14" t="str">
        <f>IF(P35="","-",VLOOKUP(P35,AgentSector!$B$3:$D$30,3,TRUE))</f>
        <v>Firm</v>
      </c>
      <c r="P35" s="4">
        <v>20</v>
      </c>
    </row>
    <row r="36" spans="2:16">
      <c r="B36" s="4"/>
      <c r="C36" s="12" t="str">
        <f>IF(B36="","-",VLOOKUP(B36,AgentSector!$B$3:$D$30,3,TRUE))</f>
        <v>-</v>
      </c>
      <c r="D36" s="16"/>
      <c r="E36" s="29"/>
      <c r="F36" s="21"/>
      <c r="G36" s="35"/>
      <c r="H36" s="25"/>
      <c r="I36" s="19"/>
      <c r="J36" s="18" t="s">
        <v>18</v>
      </c>
      <c r="K36" s="33" t="s">
        <v>407</v>
      </c>
      <c r="L36" s="23" t="s">
        <v>574</v>
      </c>
      <c r="M36" s="31" t="s">
        <v>568</v>
      </c>
      <c r="N36" s="27" t="s">
        <v>54</v>
      </c>
      <c r="O36" s="14" t="str">
        <f>IF(P36="","-",VLOOKUP(P36,AgentSector!$B$3:$D$30,3,TRUE))</f>
        <v>Firm</v>
      </c>
      <c r="P36" s="4">
        <v>20</v>
      </c>
    </row>
    <row r="37" spans="2:16">
      <c r="B37" s="4"/>
      <c r="C37" s="12" t="str">
        <f>IF(B37="","-",VLOOKUP(B37,AgentSector!$B$3:$D$30,3,TRUE))</f>
        <v>-</v>
      </c>
      <c r="D37" s="16"/>
      <c r="E37" s="29"/>
      <c r="F37" s="21"/>
      <c r="G37" s="35"/>
      <c r="H37" s="25"/>
      <c r="I37" s="19"/>
      <c r="J37" s="18"/>
      <c r="K37" s="33"/>
      <c r="L37" s="23"/>
      <c r="M37" s="31"/>
      <c r="N37" s="27"/>
      <c r="O37" s="14" t="str">
        <f>IF(P37="","-",VLOOKUP(P37,AgentSector!$B$3:$D$30,3,TRUE))</f>
        <v>-</v>
      </c>
      <c r="P37" s="4"/>
    </row>
    <row r="38" spans="2:16">
      <c r="B38" s="4"/>
      <c r="C38" s="12" t="str">
        <f>IF(B38="","-",VLOOKUP(B38,AgentSector!$B$3:$D$30,3,TRUE))</f>
        <v>-</v>
      </c>
      <c r="D38" s="16"/>
      <c r="E38" s="29"/>
      <c r="F38" s="21"/>
      <c r="G38" s="35"/>
      <c r="H38" s="25"/>
      <c r="I38" s="19"/>
      <c r="J38" s="18"/>
      <c r="K38" s="33"/>
      <c r="L38" s="23"/>
      <c r="M38" s="31"/>
      <c r="N38" s="27"/>
      <c r="O38" s="14" t="str">
        <f>IF(P38="","-",VLOOKUP(P38,AgentSector!$B$3:$D$30,3,TRUE))</f>
        <v>-</v>
      </c>
      <c r="P38" s="4"/>
    </row>
    <row r="39" spans="2:16">
      <c r="B39" s="4"/>
      <c r="C39" s="12" t="str">
        <f>IF(B39="","-",VLOOKUP(B39,AgentSector!$B$3:$D$30,3,TRUE))</f>
        <v>-</v>
      </c>
      <c r="D39" s="16"/>
      <c r="E39" s="29"/>
      <c r="F39" s="21"/>
      <c r="G39" s="35"/>
      <c r="H39" s="25"/>
      <c r="I39" s="19"/>
      <c r="J39" s="18"/>
      <c r="K39" s="33"/>
      <c r="L39" s="23"/>
      <c r="M39" s="31"/>
      <c r="N39" s="27"/>
      <c r="O39" s="14" t="str">
        <f>IF(P39="","-",VLOOKUP(P39,AgentSector!$B$3:$D$30,3,TRUE))</f>
        <v>-</v>
      </c>
      <c r="P39" s="4"/>
    </row>
    <row r="40" spans="2:16">
      <c r="B40" s="4"/>
      <c r="C40" s="12" t="str">
        <f>IF(B40="","-",VLOOKUP(B40,AgentSector!$B$3:$D$30,3,TRUE))</f>
        <v>-</v>
      </c>
      <c r="D40" s="16"/>
      <c r="E40" s="29"/>
      <c r="F40" s="21"/>
      <c r="G40" s="35"/>
      <c r="H40" s="25"/>
      <c r="I40" s="19"/>
      <c r="J40" s="18"/>
      <c r="K40" s="33"/>
      <c r="L40" s="23"/>
      <c r="M40" s="31"/>
      <c r="N40" s="27"/>
      <c r="O40" s="14" t="str">
        <f>IF(P40="","-",VLOOKUP(P40,AgentSector!$B$3:$D$30,3,TRUE))</f>
        <v>-</v>
      </c>
      <c r="P40" s="4"/>
    </row>
    <row r="41" spans="2:16">
      <c r="B41" s="4"/>
      <c r="C41" s="12" t="str">
        <f>IF(B41="","-",VLOOKUP(B41,AgentSector!$B$3:$D$30,3,TRUE))</f>
        <v>-</v>
      </c>
      <c r="D41" s="16"/>
      <c r="E41" s="29"/>
      <c r="F41" s="21"/>
      <c r="G41" s="35"/>
      <c r="H41" s="25"/>
      <c r="I41" s="19"/>
      <c r="J41" s="18"/>
      <c r="K41" s="33"/>
      <c r="L41" s="23"/>
      <c r="M41" s="31"/>
      <c r="N41" s="27"/>
      <c r="O41" s="14" t="str">
        <f>IF(P41="","-",VLOOKUP(P41,AgentSector!$B$3:$D$30,3,TRUE))</f>
        <v>-</v>
      </c>
      <c r="P41" s="4"/>
    </row>
    <row r="42" spans="2:16">
      <c r="B42" s="4"/>
      <c r="C42" s="12" t="str">
        <f>IF(B42="","-",VLOOKUP(B42,AgentSector!$B$3:$D$30,3,TRUE))</f>
        <v>-</v>
      </c>
      <c r="D42" s="16"/>
      <c r="E42" s="29"/>
      <c r="F42" s="21"/>
      <c r="G42" s="35"/>
      <c r="H42" s="25"/>
      <c r="I42" s="19"/>
      <c r="J42" s="18"/>
      <c r="K42" s="33"/>
      <c r="L42" s="23"/>
      <c r="M42" s="31"/>
      <c r="N42" s="27"/>
      <c r="O42" s="14" t="str">
        <f>IF(P42="","-",VLOOKUP(P42,AgentSector!$B$3:$D$30,3,TRUE))</f>
        <v>-</v>
      </c>
      <c r="P42" s="4"/>
    </row>
    <row r="43" spans="2:16">
      <c r="B43" s="4"/>
      <c r="C43" s="12" t="str">
        <f>IF(B43="","-",VLOOKUP(B43,AgentSector!$B$3:$D$30,3,TRUE))</f>
        <v>-</v>
      </c>
      <c r="D43" s="16"/>
      <c r="E43" s="29"/>
      <c r="F43" s="21"/>
      <c r="G43" s="35"/>
      <c r="H43" s="25"/>
      <c r="I43" s="19"/>
      <c r="J43" s="18"/>
      <c r="K43" s="33"/>
      <c r="L43" s="23"/>
      <c r="M43" s="31"/>
      <c r="N43" s="27"/>
      <c r="O43" s="14" t="str">
        <f>IF(P43="","-",VLOOKUP(P43,AgentSector!$B$3:$D$30,3,TRUE))</f>
        <v>-</v>
      </c>
      <c r="P43" s="4"/>
    </row>
    <row r="44" spans="2:16">
      <c r="B44" s="4"/>
      <c r="C44" s="12" t="str">
        <f>IF(B44="","-",VLOOKUP(B44,AgentSector!$B$3:$D$30,3,TRUE))</f>
        <v>-</v>
      </c>
      <c r="D44" s="16"/>
      <c r="E44" s="29"/>
      <c r="F44" s="21"/>
      <c r="G44" s="35"/>
      <c r="H44" s="25"/>
      <c r="I44" s="19"/>
      <c r="J44" s="18"/>
      <c r="K44" s="33"/>
      <c r="L44" s="23"/>
      <c r="M44" s="31"/>
      <c r="N44" s="27"/>
      <c r="O44" s="14" t="str">
        <f>IF(P44="","-",VLOOKUP(P44,AgentSector!$B$3:$D$30,3,TRUE))</f>
        <v>-</v>
      </c>
      <c r="P44" s="4"/>
    </row>
    <row r="45" spans="2:16">
      <c r="B45" s="4"/>
      <c r="C45" s="12" t="str">
        <f>IF(B45="","-",VLOOKUP(B45,AgentSector!$B$3:$D$30,3,TRUE))</f>
        <v>-</v>
      </c>
      <c r="D45" s="16"/>
      <c r="E45" s="29"/>
      <c r="F45" s="21"/>
      <c r="G45" s="35"/>
      <c r="H45" s="25"/>
      <c r="I45" s="19"/>
      <c r="J45" s="18"/>
      <c r="K45" s="33"/>
      <c r="L45" s="23"/>
      <c r="M45" s="31"/>
      <c r="N45" s="27"/>
      <c r="O45" s="14" t="str">
        <f>IF(P45="","-",VLOOKUP(P45,AgentSector!$B$3:$D$30,3,TRUE))</f>
        <v>-</v>
      </c>
      <c r="P45" s="4"/>
    </row>
    <row r="46" spans="2:16">
      <c r="B46" s="4"/>
      <c r="C46" s="12" t="str">
        <f>IF(B46="","-",VLOOKUP(B46,AgentSector!$B$3:$D$30,3,TRUE))</f>
        <v>-</v>
      </c>
      <c r="D46" s="16"/>
      <c r="E46" s="29"/>
      <c r="F46" s="21"/>
      <c r="G46" s="35"/>
      <c r="H46" s="25"/>
      <c r="I46" s="19"/>
      <c r="J46" s="18"/>
      <c r="K46" s="33"/>
      <c r="L46" s="23"/>
      <c r="M46" s="31"/>
      <c r="N46" s="27"/>
      <c r="O46" s="14" t="str">
        <f>IF(P46="","-",VLOOKUP(P46,AgentSector!$B$3:$D$30,3,TRUE))</f>
        <v>-</v>
      </c>
      <c r="P46" s="4"/>
    </row>
    <row r="47" spans="2:16">
      <c r="B47" s="4"/>
      <c r="C47" s="12" t="str">
        <f>IF(B47="","-",VLOOKUP(B47,AgentSector!$B$3:$D$30,3,TRUE))</f>
        <v>-</v>
      </c>
      <c r="D47" s="16"/>
      <c r="E47" s="29"/>
      <c r="F47" s="21"/>
      <c r="G47" s="35"/>
      <c r="H47" s="25"/>
      <c r="I47" s="19"/>
      <c r="J47" s="18"/>
      <c r="K47" s="33"/>
      <c r="L47" s="23"/>
      <c r="M47" s="31"/>
      <c r="N47" s="27"/>
      <c r="O47" s="14" t="str">
        <f>IF(P47="","-",VLOOKUP(P47,AgentSector!$B$3:$D$30,3,TRUE))</f>
        <v>-</v>
      </c>
      <c r="P47" s="4"/>
    </row>
    <row r="48" spans="2:16">
      <c r="B48" s="4"/>
      <c r="C48" s="12" t="str">
        <f>IF(B48="","-",VLOOKUP(B48,AgentSector!$B$3:$D$30,3,TRUE))</f>
        <v>-</v>
      </c>
      <c r="D48" s="16"/>
      <c r="E48" s="29"/>
      <c r="F48" s="21"/>
      <c r="G48" s="35"/>
      <c r="H48" s="25"/>
      <c r="I48" s="19"/>
      <c r="J48" s="18"/>
      <c r="K48" s="33"/>
      <c r="L48" s="23"/>
      <c r="M48" s="31"/>
      <c r="N48" s="27"/>
      <c r="O48" s="14" t="str">
        <f>IF(P48="","-",VLOOKUP(P48,AgentSector!$B$3:$D$30,3,TRUE))</f>
        <v>-</v>
      </c>
      <c r="P48" s="4"/>
    </row>
    <row r="49" spans="2:16">
      <c r="B49" s="4"/>
      <c r="C49" s="12" t="str">
        <f>IF(B49="","-",VLOOKUP(B49,AgentSector!$B$3:$D$30,3,TRUE))</f>
        <v>-</v>
      </c>
      <c r="D49" s="16"/>
      <c r="E49" s="29"/>
      <c r="F49" s="21"/>
      <c r="G49" s="35"/>
      <c r="H49" s="25"/>
      <c r="I49" s="19"/>
      <c r="J49" s="18"/>
      <c r="K49" s="33"/>
      <c r="L49" s="23"/>
      <c r="M49" s="31"/>
      <c r="N49" s="27"/>
      <c r="O49" s="14" t="str">
        <f>IF(P49="","-",VLOOKUP(P49,AgentSector!$B$3:$D$30,3,TRUE))</f>
        <v>-</v>
      </c>
      <c r="P49" s="4"/>
    </row>
    <row r="50" spans="2:16">
      <c r="B50" s="4"/>
      <c r="C50" s="12" t="str">
        <f>IF(B50="","-",VLOOKUP(B50,AgentSector!$B$3:$D$30,3,TRUE))</f>
        <v>-</v>
      </c>
      <c r="D50" s="16"/>
      <c r="E50" s="29"/>
      <c r="F50" s="21"/>
      <c r="G50" s="35"/>
      <c r="H50" s="25"/>
      <c r="I50" s="19"/>
      <c r="J50" s="18"/>
      <c r="K50" s="33"/>
      <c r="L50" s="23"/>
      <c r="M50" s="31"/>
      <c r="N50" s="27"/>
      <c r="O50" s="14" t="str">
        <f>IF(P50="","-",VLOOKUP(P50,AgentSector!$B$3:$D$30,3,TRUE))</f>
        <v>-</v>
      </c>
      <c r="P50" s="4"/>
    </row>
    <row r="51" spans="2:16">
      <c r="B51" s="4"/>
      <c r="C51" s="12" t="str">
        <f>IF(B51="","-",VLOOKUP(B51,AgentSector!$B$3:$D$30,3,TRUE))</f>
        <v>-</v>
      </c>
      <c r="D51" s="16"/>
      <c r="E51" s="29"/>
      <c r="F51" s="21"/>
      <c r="G51" s="35"/>
      <c r="H51" s="25"/>
      <c r="I51" s="19"/>
      <c r="J51" s="18"/>
      <c r="K51" s="33"/>
      <c r="L51" s="23"/>
      <c r="M51" s="31"/>
      <c r="N51" s="27"/>
      <c r="O51" s="14" t="str">
        <f>IF(P51="","-",VLOOKUP(P51,AgentSector!$B$3:$D$30,3,TRUE))</f>
        <v>-</v>
      </c>
      <c r="P51" s="4"/>
    </row>
    <row r="52" spans="2:16">
      <c r="B52" s="4"/>
      <c r="C52" s="12" t="str">
        <f>IF(B52="","-",VLOOKUP(B52,AgentSector!$B$3:$D$30,3,TRUE))</f>
        <v>-</v>
      </c>
      <c r="D52" s="16"/>
      <c r="E52" s="29"/>
      <c r="F52" s="21"/>
      <c r="G52" s="35"/>
      <c r="H52" s="25"/>
      <c r="I52" s="19"/>
      <c r="J52" s="18"/>
      <c r="K52" s="33"/>
      <c r="L52" s="23"/>
      <c r="M52" s="31"/>
      <c r="N52" s="27"/>
      <c r="O52" s="14" t="str">
        <f>IF(P52="","-",VLOOKUP(P52,AgentSector!$B$3:$D$30,3,TRUE))</f>
        <v>-</v>
      </c>
      <c r="P52" s="4"/>
    </row>
    <row r="53" spans="2:16">
      <c r="B53" s="4"/>
      <c r="C53" s="12" t="str">
        <f>IF(B53="","-",VLOOKUP(B53,AgentSector!$B$3:$D$30,3,TRUE))</f>
        <v>-</v>
      </c>
      <c r="D53" s="16"/>
      <c r="E53" s="29"/>
      <c r="F53" s="21"/>
      <c r="G53" s="35"/>
      <c r="H53" s="25"/>
      <c r="I53" s="19"/>
      <c r="J53" s="18"/>
      <c r="K53" s="33"/>
      <c r="L53" s="23"/>
      <c r="M53" s="31"/>
      <c r="N53" s="27"/>
      <c r="O53" s="14" t="str">
        <f>IF(P53="","-",VLOOKUP(P53,AgentSector!$B$3:$D$30,3,TRUE))</f>
        <v>-</v>
      </c>
      <c r="P53" s="4"/>
    </row>
    <row r="54" spans="2:16">
      <c r="B54" s="4"/>
      <c r="C54" s="12" t="str">
        <f>IF(B54="","-",VLOOKUP(B54,AgentSector!$B$3:$D$30,3,TRUE))</f>
        <v>-</v>
      </c>
      <c r="D54" s="16"/>
      <c r="E54" s="29"/>
      <c r="F54" s="21"/>
      <c r="G54" s="35"/>
      <c r="H54" s="25"/>
      <c r="I54" s="19"/>
      <c r="J54" s="18"/>
      <c r="K54" s="33"/>
      <c r="L54" s="23"/>
      <c r="M54" s="31"/>
      <c r="N54" s="27"/>
      <c r="O54" s="14" t="str">
        <f>IF(P54="","-",VLOOKUP(P54,AgentSector!$B$3:$D$30,3,TRUE))</f>
        <v>-</v>
      </c>
      <c r="P54" s="4"/>
    </row>
    <row r="55" spans="2:16">
      <c r="B55" s="4"/>
      <c r="C55" s="12" t="str">
        <f>IF(B55="","-",VLOOKUP(B55,AgentSector!$B$3:$D$30,3,TRUE))</f>
        <v>-</v>
      </c>
      <c r="D55" s="16"/>
      <c r="E55" s="29"/>
      <c r="F55" s="21"/>
      <c r="G55" s="35"/>
      <c r="H55" s="25"/>
      <c r="I55" s="19"/>
      <c r="J55" s="18"/>
      <c r="K55" s="33"/>
      <c r="L55" s="23"/>
      <c r="M55" s="31"/>
      <c r="N55" s="27"/>
      <c r="O55" s="14" t="str">
        <f>IF(P55="","-",VLOOKUP(P55,AgentSector!$B$3:$D$30,3,TRUE))</f>
        <v>-</v>
      </c>
      <c r="P55" s="4"/>
    </row>
    <row r="56" spans="2:16">
      <c r="B56" s="4"/>
      <c r="C56" s="12" t="str">
        <f>IF(B56="","-",VLOOKUP(B56,AgentSector!$B$3:$D$30,3,TRUE))</f>
        <v>-</v>
      </c>
      <c r="D56" s="16"/>
      <c r="E56" s="29"/>
      <c r="F56" s="21"/>
      <c r="G56" s="35"/>
      <c r="H56" s="25"/>
      <c r="I56" s="19"/>
      <c r="J56" s="18"/>
      <c r="K56" s="33"/>
      <c r="L56" s="23"/>
      <c r="M56" s="31"/>
      <c r="N56" s="27"/>
      <c r="O56" s="14" t="str">
        <f>IF(P56="","-",VLOOKUP(P56,AgentSector!$B$3:$D$30,3,TRUE))</f>
        <v>-</v>
      </c>
      <c r="P56" s="4"/>
    </row>
    <row r="57" spans="2:16">
      <c r="B57" s="4"/>
      <c r="C57" s="12" t="str">
        <f>IF(B57="","-",VLOOKUP(B57,AgentSector!$B$3:$D$30,3,TRUE))</f>
        <v>-</v>
      </c>
      <c r="D57" s="16"/>
      <c r="E57" s="29"/>
      <c r="F57" s="21"/>
      <c r="G57" s="35"/>
      <c r="H57" s="25"/>
      <c r="I57" s="19"/>
      <c r="J57" s="18"/>
      <c r="K57" s="33"/>
      <c r="L57" s="23"/>
      <c r="M57" s="31"/>
      <c r="N57" s="27"/>
      <c r="O57" s="14" t="str">
        <f>IF(P57="","-",VLOOKUP(P57,AgentSector!$B$3:$D$30,3,TRUE))</f>
        <v>-</v>
      </c>
      <c r="P57" s="4"/>
    </row>
    <row r="58" spans="2:16">
      <c r="B58" s="4"/>
      <c r="C58" s="12" t="str">
        <f>IF(B58="","-",VLOOKUP(B58,AgentSector!$B$3:$D$30,3,TRUE))</f>
        <v>-</v>
      </c>
      <c r="D58" s="16"/>
      <c r="E58" s="29"/>
      <c r="F58" s="21"/>
      <c r="G58" s="35"/>
      <c r="H58" s="25"/>
      <c r="I58" s="19"/>
      <c r="J58" s="18"/>
      <c r="K58" s="33"/>
      <c r="L58" s="23"/>
      <c r="M58" s="31"/>
      <c r="N58" s="27"/>
      <c r="O58" s="14" t="str">
        <f>IF(P58="","-",VLOOKUP(P58,AgentSector!$B$3:$D$30,3,TRUE))</f>
        <v>-</v>
      </c>
      <c r="P58" s="4"/>
    </row>
    <row r="59" spans="2:16">
      <c r="B59" s="4"/>
      <c r="C59" s="12" t="str">
        <f>IF(B59="","-",VLOOKUP(B59,AgentSector!$B$3:$D$30,3,TRUE))</f>
        <v>-</v>
      </c>
      <c r="D59" s="16"/>
      <c r="E59" s="29"/>
      <c r="F59" s="21"/>
      <c r="G59" s="35"/>
      <c r="H59" s="25"/>
      <c r="I59" s="19"/>
      <c r="J59" s="18"/>
      <c r="K59" s="33"/>
      <c r="L59" s="23"/>
      <c r="M59" s="31"/>
      <c r="N59" s="27"/>
      <c r="O59" s="14" t="str">
        <f>IF(P59="","-",VLOOKUP(P59,AgentSector!$B$3:$D$30,3,TRUE))</f>
        <v>-</v>
      </c>
      <c r="P59" s="4"/>
    </row>
    <row r="60" spans="2:16">
      <c r="B60" s="4"/>
      <c r="C60" s="12" t="str">
        <f>IF(B60="","-",VLOOKUP(B60,AgentSector!$B$3:$D$30,3,TRUE))</f>
        <v>-</v>
      </c>
      <c r="D60" s="16"/>
      <c r="E60" s="29"/>
      <c r="F60" s="21"/>
      <c r="G60" s="35"/>
      <c r="H60" s="25"/>
      <c r="I60" s="19"/>
      <c r="J60" s="18"/>
      <c r="K60" s="33"/>
      <c r="L60" s="23"/>
      <c r="M60" s="31"/>
      <c r="N60" s="27"/>
      <c r="O60" s="14" t="str">
        <f>IF(P60="","-",VLOOKUP(P60,AgentSector!$B$3:$D$30,3,TRUE))</f>
        <v>-</v>
      </c>
      <c r="P60" s="4"/>
    </row>
    <row r="61" spans="2:16">
      <c r="B61" s="4"/>
      <c r="C61" s="12" t="str">
        <f>IF(B61="","-",VLOOKUP(B61,AgentSector!$B$3:$D$30,3,TRUE))</f>
        <v>-</v>
      </c>
      <c r="D61" s="16"/>
      <c r="E61" s="29"/>
      <c r="F61" s="21"/>
      <c r="G61" s="35"/>
      <c r="H61" s="25"/>
      <c r="I61" s="19"/>
      <c r="J61" s="18"/>
      <c r="K61" s="33"/>
      <c r="L61" s="23"/>
      <c r="M61" s="31"/>
      <c r="N61" s="27"/>
      <c r="O61" s="14" t="str">
        <f>IF(P61="","-",VLOOKUP(P61,AgentSector!$B$3:$D$30,3,TRUE))</f>
        <v>-</v>
      </c>
      <c r="P61" s="4"/>
    </row>
    <row r="62" spans="2:16">
      <c r="B62" s="4"/>
      <c r="C62" s="12" t="str">
        <f>IF(B62="","-",VLOOKUP(B62,AgentSector!$B$3:$D$30,3,TRUE))</f>
        <v>-</v>
      </c>
      <c r="D62" s="16"/>
      <c r="E62" s="29"/>
      <c r="F62" s="21"/>
      <c r="G62" s="35"/>
      <c r="H62" s="25"/>
      <c r="I62" s="19"/>
      <c r="J62" s="18"/>
      <c r="K62" s="33"/>
      <c r="L62" s="23"/>
      <c r="M62" s="31"/>
      <c r="N62" s="27"/>
      <c r="O62" s="14" t="str">
        <f>IF(P62="","-",VLOOKUP(P62,AgentSector!$B$3:$D$30,3,TRUE))</f>
        <v>-</v>
      </c>
      <c r="P62" s="4"/>
    </row>
    <row r="63" spans="2:16">
      <c r="B63" s="4"/>
      <c r="C63" s="12" t="str">
        <f>IF(B63="","-",VLOOKUP(B63,AgentSector!$B$3:$D$30,3,TRUE))</f>
        <v>-</v>
      </c>
      <c r="D63" s="16"/>
      <c r="E63" s="29"/>
      <c r="F63" s="21"/>
      <c r="G63" s="35"/>
      <c r="H63" s="25"/>
      <c r="I63" s="19"/>
      <c r="J63" s="18"/>
      <c r="K63" s="33"/>
      <c r="L63" s="23"/>
      <c r="M63" s="31"/>
      <c r="N63" s="27"/>
      <c r="O63" s="14" t="str">
        <f>IF(P63="","-",VLOOKUP(P63,AgentSector!$B$3:$D$30,3,TRUE))</f>
        <v>-</v>
      </c>
      <c r="P63" s="4"/>
    </row>
    <row r="64" spans="2:16">
      <c r="B64" s="4"/>
      <c r="C64" s="12" t="str">
        <f>IF(B64="","-",VLOOKUP(B64,AgentSector!$B$3:$D$30,3,TRUE))</f>
        <v>-</v>
      </c>
      <c r="D64" s="16"/>
      <c r="E64" s="29"/>
      <c r="F64" s="21"/>
      <c r="G64" s="35"/>
      <c r="H64" s="25"/>
      <c r="I64" s="19"/>
      <c r="J64" s="18"/>
      <c r="K64" s="33"/>
      <c r="L64" s="23"/>
      <c r="M64" s="31"/>
      <c r="N64" s="27"/>
      <c r="O64" s="14" t="str">
        <f>IF(P64="","-",VLOOKUP(P64,AgentSector!$B$3:$D$30,3,TRUE))</f>
        <v>-</v>
      </c>
      <c r="P64" s="4"/>
    </row>
    <row r="65" spans="2:16">
      <c r="B65" s="4"/>
      <c r="C65" s="12" t="str">
        <f>IF(B65="","-",VLOOKUP(B65,AgentSector!$B$3:$D$30,3,TRUE))</f>
        <v>-</v>
      </c>
      <c r="D65" s="16"/>
      <c r="E65" s="29"/>
      <c r="F65" s="21"/>
      <c r="G65" s="35"/>
      <c r="H65" s="25"/>
      <c r="I65" s="19"/>
      <c r="J65" s="18"/>
      <c r="K65" s="33"/>
      <c r="L65" s="23"/>
      <c r="M65" s="31"/>
      <c r="N65" s="27"/>
      <c r="O65" s="14" t="str">
        <f>IF(P65="","-",VLOOKUP(P65,AgentSector!$B$3:$D$30,3,TRUE))</f>
        <v>-</v>
      </c>
      <c r="P65" s="4"/>
    </row>
    <row r="66" spans="2:16">
      <c r="B66" s="4"/>
      <c r="C66" s="12" t="str">
        <f>IF(B66="","-",VLOOKUP(B66,AgentSector!$B$3:$D$30,3,TRUE))</f>
        <v>-</v>
      </c>
      <c r="D66" s="16"/>
      <c r="E66" s="29"/>
      <c r="F66" s="21"/>
      <c r="G66" s="35"/>
      <c r="H66" s="25"/>
      <c r="I66" s="19"/>
      <c r="J66" s="18"/>
      <c r="K66" s="33"/>
      <c r="L66" s="23"/>
      <c r="M66" s="31"/>
      <c r="N66" s="27"/>
      <c r="O66" s="14" t="str">
        <f>IF(P66="","-",VLOOKUP(P66,AgentSector!$B$3:$D$30,3,TRUE))</f>
        <v>-</v>
      </c>
      <c r="P66" s="4"/>
    </row>
    <row r="67" spans="2:16">
      <c r="B67" s="4"/>
      <c r="C67" s="12" t="str">
        <f>IF(B67="","-",VLOOKUP(B67,AgentSector!$B$3:$D$30,3,TRUE))</f>
        <v>-</v>
      </c>
      <c r="D67" s="16"/>
      <c r="E67" s="29"/>
      <c r="F67" s="21"/>
      <c r="G67" s="35"/>
      <c r="H67" s="25"/>
      <c r="I67" s="19"/>
      <c r="J67" s="18"/>
      <c r="K67" s="33"/>
      <c r="L67" s="23"/>
      <c r="M67" s="31"/>
      <c r="N67" s="27"/>
      <c r="O67" s="14" t="str">
        <f>IF(P67="","-",VLOOKUP(P67,AgentSector!$B$3:$D$30,3,TRUE))</f>
        <v>-</v>
      </c>
      <c r="P67" s="4"/>
    </row>
    <row r="68" spans="2:16">
      <c r="B68" s="4"/>
      <c r="C68" s="12" t="str">
        <f>IF(B68="","-",VLOOKUP(B68,AgentSector!$B$3:$D$30,3,TRUE))</f>
        <v>-</v>
      </c>
      <c r="D68" s="16"/>
      <c r="E68" s="29"/>
      <c r="F68" s="21"/>
      <c r="G68" s="35"/>
      <c r="H68" s="25"/>
      <c r="I68" s="19"/>
      <c r="J68" s="18"/>
      <c r="K68" s="33"/>
      <c r="L68" s="23"/>
      <c r="M68" s="31"/>
      <c r="N68" s="27"/>
      <c r="O68" s="14" t="str">
        <f>IF(P68="","-",VLOOKUP(P68,AgentSector!$B$3:$D$30,3,TRUE))</f>
        <v>-</v>
      </c>
      <c r="P68" s="4"/>
    </row>
    <row r="69" spans="2:16">
      <c r="B69" s="4"/>
      <c r="C69" s="12" t="str">
        <f>IF(B69="","-",VLOOKUP(B69,AgentSector!$B$3:$D$30,3,TRUE))</f>
        <v>-</v>
      </c>
      <c r="D69" s="16"/>
      <c r="E69" s="29"/>
      <c r="F69" s="21"/>
      <c r="G69" s="35"/>
      <c r="H69" s="25"/>
      <c r="I69" s="19"/>
      <c r="J69" s="18"/>
      <c r="K69" s="33"/>
      <c r="L69" s="23"/>
      <c r="M69" s="31"/>
      <c r="N69" s="27"/>
      <c r="O69" s="14" t="str">
        <f>IF(P69="","-",VLOOKUP(P69,AgentSector!$B$3:$D$30,3,TRUE))</f>
        <v>-</v>
      </c>
      <c r="P69" s="4"/>
    </row>
    <row r="70" spans="2:16">
      <c r="B70" s="4"/>
      <c r="C70" s="12" t="str">
        <f>IF(B70="","-",VLOOKUP(B70,AgentSector!$B$3:$D$30,3,TRUE))</f>
        <v>-</v>
      </c>
      <c r="D70" s="16"/>
      <c r="E70" s="29"/>
      <c r="F70" s="21"/>
      <c r="G70" s="35"/>
      <c r="H70" s="25"/>
      <c r="I70" s="19"/>
      <c r="J70" s="18"/>
      <c r="K70" s="33"/>
      <c r="L70" s="23"/>
      <c r="M70" s="31"/>
      <c r="N70" s="27"/>
      <c r="O70" s="14" t="str">
        <f>IF(P70="","-",VLOOKUP(P70,AgentSector!$B$3:$D$30,3,TRUE))</f>
        <v>-</v>
      </c>
      <c r="P70" s="4"/>
    </row>
    <row r="71" spans="2:16">
      <c r="B71" s="4"/>
      <c r="C71" s="12" t="str">
        <f>IF(B71="","-",VLOOKUP(B71,AgentSector!$B$3:$D$30,3,TRUE))</f>
        <v>-</v>
      </c>
      <c r="D71" s="16"/>
      <c r="E71" s="29"/>
      <c r="F71" s="21"/>
      <c r="G71" s="35"/>
      <c r="H71" s="25"/>
      <c r="I71" s="19"/>
      <c r="J71" s="18"/>
      <c r="K71" s="33"/>
      <c r="L71" s="23"/>
      <c r="M71" s="31"/>
      <c r="N71" s="27"/>
      <c r="O71" s="14" t="str">
        <f>IF(P71="","-",VLOOKUP(P71,AgentSector!$B$3:$D$30,3,TRUE))</f>
        <v>-</v>
      </c>
      <c r="P71" s="4"/>
    </row>
    <row r="72" spans="2:16">
      <c r="B72" s="4"/>
      <c r="C72" s="12" t="str">
        <f>IF(B72="","-",VLOOKUP(B72,AgentSector!$B$3:$D$30,3,TRUE))</f>
        <v>-</v>
      </c>
      <c r="D72" s="16"/>
      <c r="E72" s="29"/>
      <c r="F72" s="21"/>
      <c r="G72" s="35"/>
      <c r="H72" s="25"/>
      <c r="I72" s="19"/>
      <c r="J72" s="18"/>
      <c r="K72" s="33"/>
      <c r="L72" s="23"/>
      <c r="M72" s="31"/>
      <c r="N72" s="27"/>
      <c r="O72" s="14" t="str">
        <f>IF(P72="","-",VLOOKUP(P72,AgentSector!$B$3:$D$30,3,TRUE))</f>
        <v>-</v>
      </c>
      <c r="P72" s="4"/>
    </row>
    <row r="73" spans="2:16">
      <c r="B73" s="4"/>
      <c r="C73" s="12" t="str">
        <f>IF(B73="","-",VLOOKUP(B73,AgentSector!$B$3:$D$30,3,TRUE))</f>
        <v>-</v>
      </c>
      <c r="D73" s="16"/>
      <c r="E73" s="29"/>
      <c r="F73" s="21"/>
      <c r="G73" s="35"/>
      <c r="H73" s="25"/>
      <c r="I73" s="19"/>
      <c r="J73" s="18"/>
      <c r="K73" s="33"/>
      <c r="L73" s="23"/>
      <c r="M73" s="31"/>
      <c r="N73" s="27"/>
      <c r="O73" s="14" t="str">
        <f>IF(P73="","-",VLOOKUP(P73,AgentSector!$B$3:$D$30,3,TRUE))</f>
        <v>-</v>
      </c>
      <c r="P73" s="4"/>
    </row>
    <row r="74" spans="2:16">
      <c r="B74" s="4"/>
      <c r="C74" s="12" t="str">
        <f>IF(B74="","-",VLOOKUP(B74,AgentSector!$B$3:$D$30,3,TRUE))</f>
        <v>-</v>
      </c>
      <c r="D74" s="16"/>
      <c r="E74" s="29"/>
      <c r="F74" s="21"/>
      <c r="G74" s="35"/>
      <c r="H74" s="25"/>
      <c r="I74" s="19"/>
      <c r="J74" s="18"/>
      <c r="K74" s="33"/>
      <c r="L74" s="23"/>
      <c r="M74" s="31"/>
      <c r="N74" s="27"/>
      <c r="O74" s="14" t="str">
        <f>IF(P74="","-",VLOOKUP(P74,AgentSector!$B$3:$D$30,3,TRUE))</f>
        <v>-</v>
      </c>
      <c r="P74" s="4"/>
    </row>
    <row r="75" spans="2:16">
      <c r="B75" s="4"/>
      <c r="C75" s="12" t="str">
        <f>IF(B75="","-",VLOOKUP(B75,AgentSector!$B$3:$D$30,3,TRUE))</f>
        <v>-</v>
      </c>
      <c r="D75" s="16"/>
      <c r="E75" s="29"/>
      <c r="F75" s="21"/>
      <c r="G75" s="35"/>
      <c r="H75" s="25"/>
      <c r="I75" s="19"/>
      <c r="J75" s="18"/>
      <c r="K75" s="33"/>
      <c r="L75" s="23"/>
      <c r="M75" s="31"/>
      <c r="N75" s="27"/>
      <c r="O75" s="14" t="str">
        <f>IF(P75="","-",VLOOKUP(P75,AgentSector!$B$3:$D$30,3,TRUE))</f>
        <v>-</v>
      </c>
      <c r="P75" s="4"/>
    </row>
    <row r="76" spans="2:16">
      <c r="B76" s="4"/>
      <c r="C76" s="12" t="str">
        <f>IF(B76="","-",VLOOKUP(B76,AgentSector!$B$3:$D$30,3,TRUE))</f>
        <v>-</v>
      </c>
      <c r="D76" s="16"/>
      <c r="E76" s="29"/>
      <c r="F76" s="21"/>
      <c r="G76" s="35"/>
      <c r="H76" s="25"/>
      <c r="I76" s="19"/>
      <c r="J76" s="18"/>
      <c r="K76" s="33"/>
      <c r="L76" s="23"/>
      <c r="M76" s="31"/>
      <c r="N76" s="27"/>
      <c r="O76" s="14" t="str">
        <f>IF(P76="","-",VLOOKUP(P76,AgentSector!$B$3:$D$30,3,TRUE))</f>
        <v>-</v>
      </c>
      <c r="P76" s="4"/>
    </row>
    <row r="77" spans="2:16">
      <c r="B77" s="4"/>
      <c r="C77" s="12" t="str">
        <f>IF(B77="","-",VLOOKUP(B77,AgentSector!$B$3:$D$30,3,TRUE))</f>
        <v>-</v>
      </c>
      <c r="D77" s="16"/>
      <c r="E77" s="29"/>
      <c r="F77" s="21"/>
      <c r="G77" s="35"/>
      <c r="H77" s="25"/>
      <c r="I77" s="19"/>
      <c r="J77" s="18"/>
      <c r="K77" s="33"/>
      <c r="L77" s="23"/>
      <c r="M77" s="31"/>
      <c r="N77" s="27"/>
      <c r="O77" s="14" t="str">
        <f>IF(P77="","-",VLOOKUP(P77,AgentSector!$B$3:$D$30,3,TRUE))</f>
        <v>-</v>
      </c>
      <c r="P77" s="4"/>
    </row>
    <row r="78" spans="2:16">
      <c r="B78" s="4"/>
      <c r="C78" s="12" t="str">
        <f>IF(B78="","-",VLOOKUP(B78,AgentSector!$B$3:$D$30,3,TRUE))</f>
        <v>-</v>
      </c>
      <c r="D78" s="16"/>
      <c r="E78" s="29"/>
      <c r="F78" s="21"/>
      <c r="G78" s="35"/>
      <c r="H78" s="25"/>
      <c r="I78" s="19"/>
      <c r="J78" s="18"/>
      <c r="K78" s="33"/>
      <c r="L78" s="23"/>
      <c r="M78" s="31"/>
      <c r="N78" s="27"/>
      <c r="O78" s="14" t="str">
        <f>IF(P78="","-",VLOOKUP(P78,AgentSector!$B$3:$D$30,3,TRUE))</f>
        <v>-</v>
      </c>
      <c r="P78" s="4"/>
    </row>
    <row r="79" spans="2:16">
      <c r="B79" s="4"/>
      <c r="C79" s="12" t="str">
        <f>IF(B79="","-",VLOOKUP(B79,AgentSector!$B$3:$D$30,3,TRUE))</f>
        <v>-</v>
      </c>
      <c r="D79" s="16"/>
      <c r="E79" s="29"/>
      <c r="F79" s="21"/>
      <c r="G79" s="35"/>
      <c r="H79" s="25"/>
      <c r="I79" s="19"/>
      <c r="J79" s="18"/>
      <c r="K79" s="33"/>
      <c r="L79" s="23"/>
      <c r="M79" s="31"/>
      <c r="N79" s="27"/>
      <c r="O79" s="14" t="str">
        <f>IF(P79="","-",VLOOKUP(P79,AgentSector!$B$3:$D$30,3,TRUE))</f>
        <v>-</v>
      </c>
      <c r="P79" s="4"/>
    </row>
    <row r="80" spans="2:16">
      <c r="B80" s="4"/>
      <c r="C80" s="12" t="str">
        <f>IF(B80="","-",VLOOKUP(B80,AgentSector!$B$3:$D$30,3,TRUE))</f>
        <v>-</v>
      </c>
      <c r="D80" s="16"/>
      <c r="E80" s="29"/>
      <c r="F80" s="21"/>
      <c r="G80" s="35"/>
      <c r="H80" s="25"/>
      <c r="I80" s="19"/>
      <c r="J80" s="18"/>
      <c r="K80" s="33"/>
      <c r="L80" s="23"/>
      <c r="M80" s="31"/>
      <c r="N80" s="27"/>
      <c r="O80" s="14" t="str">
        <f>IF(P80="","-",VLOOKUP(P80,AgentSector!$B$3:$D$30,3,TRUE))</f>
        <v>-</v>
      </c>
      <c r="P80" s="4"/>
    </row>
    <row r="81" spans="2:16">
      <c r="B81" s="4"/>
      <c r="C81" s="12" t="str">
        <f>IF(B81="","-",VLOOKUP(B81,AgentSector!$B$3:$D$30,3,TRUE))</f>
        <v>-</v>
      </c>
      <c r="D81" s="16"/>
      <c r="E81" s="29"/>
      <c r="F81" s="21"/>
      <c r="G81" s="35"/>
      <c r="H81" s="25"/>
      <c r="I81" s="19"/>
      <c r="J81" s="18"/>
      <c r="K81" s="33"/>
      <c r="L81" s="23"/>
      <c r="M81" s="31"/>
      <c r="N81" s="27"/>
      <c r="O81" s="14" t="str">
        <f>IF(P81="","-",VLOOKUP(P81,AgentSector!$B$3:$D$30,3,TRUE))</f>
        <v>-</v>
      </c>
      <c r="P81" s="4"/>
    </row>
    <row r="82" spans="2:16">
      <c r="B82" s="4"/>
      <c r="C82" s="12" t="str">
        <f>IF(B82="","-",VLOOKUP(B82,AgentSector!$B$3:$D$30,3,TRUE))</f>
        <v>-</v>
      </c>
      <c r="D82" s="16"/>
      <c r="E82" s="29"/>
      <c r="F82" s="21"/>
      <c r="G82" s="35"/>
      <c r="H82" s="25"/>
      <c r="I82" s="19"/>
      <c r="J82" s="18"/>
      <c r="K82" s="33"/>
      <c r="L82" s="23"/>
      <c r="M82" s="31"/>
      <c r="N82" s="27"/>
      <c r="O82" s="14" t="str">
        <f>IF(P82="","-",VLOOKUP(P82,AgentSector!$B$3:$D$30,3,TRUE))</f>
        <v>-</v>
      </c>
      <c r="P82" s="4"/>
    </row>
    <row r="83" spans="2:16">
      <c r="B83" s="4"/>
      <c r="C83" s="12" t="str">
        <f>IF(B83="","-",VLOOKUP(B83,AgentSector!$B$3:$D$30,3,TRUE))</f>
        <v>-</v>
      </c>
      <c r="D83" s="16"/>
      <c r="E83" s="29"/>
      <c r="F83" s="21"/>
      <c r="G83" s="35"/>
      <c r="H83" s="25"/>
      <c r="I83" s="19"/>
      <c r="J83" s="18"/>
      <c r="K83" s="33"/>
      <c r="L83" s="23"/>
      <c r="M83" s="31"/>
      <c r="N83" s="27"/>
      <c r="O83" s="14" t="str">
        <f>IF(P83="","-",VLOOKUP(P83,AgentSector!$B$3:$D$30,3,TRUE))</f>
        <v>-</v>
      </c>
      <c r="P83" s="4"/>
    </row>
    <row r="84" spans="2:16">
      <c r="B84" s="4"/>
      <c r="C84" s="12" t="str">
        <f>IF(B84="","-",VLOOKUP(B84,AgentSector!$B$3:$D$30,3,TRUE))</f>
        <v>-</v>
      </c>
      <c r="D84" s="16"/>
      <c r="E84" s="29"/>
      <c r="F84" s="21"/>
      <c r="G84" s="35"/>
      <c r="H84" s="25"/>
      <c r="I84" s="19"/>
      <c r="J84" s="18"/>
      <c r="K84" s="33"/>
      <c r="L84" s="23"/>
      <c r="M84" s="31"/>
      <c r="N84" s="27"/>
      <c r="O84" s="14" t="str">
        <f>IF(P84="","-",VLOOKUP(P84,AgentSector!$B$3:$D$30,3,TRUE))</f>
        <v>-</v>
      </c>
      <c r="P84" s="4"/>
    </row>
    <row r="85" spans="2:16">
      <c r="B85" s="4"/>
      <c r="C85" s="12" t="str">
        <f>IF(B85="","-",VLOOKUP(B85,AgentSector!$B$3:$D$30,3,TRUE))</f>
        <v>-</v>
      </c>
      <c r="D85" s="16"/>
      <c r="E85" s="29"/>
      <c r="F85" s="21"/>
      <c r="G85" s="35"/>
      <c r="H85" s="25"/>
      <c r="I85" s="19"/>
      <c r="J85" s="18"/>
      <c r="K85" s="33"/>
      <c r="L85" s="23"/>
      <c r="M85" s="31"/>
      <c r="N85" s="27"/>
      <c r="O85" s="14" t="str">
        <f>IF(P85="","-",VLOOKUP(P85,AgentSector!$B$3:$D$30,3,TRUE))</f>
        <v>-</v>
      </c>
      <c r="P85" s="4"/>
    </row>
    <row r="86" spans="2:16">
      <c r="B86" s="4"/>
      <c r="C86" s="12" t="str">
        <f>IF(B86="","-",VLOOKUP(B86,AgentSector!$B$3:$D$30,3,TRUE))</f>
        <v>-</v>
      </c>
      <c r="D86" s="16"/>
      <c r="E86" s="29"/>
      <c r="F86" s="21"/>
      <c r="G86" s="35"/>
      <c r="H86" s="25"/>
      <c r="I86" s="19"/>
      <c r="J86" s="18"/>
      <c r="K86" s="33"/>
      <c r="L86" s="23"/>
      <c r="M86" s="31"/>
      <c r="N86" s="27"/>
      <c r="O86" s="14" t="str">
        <f>IF(P86="","-",VLOOKUP(P86,AgentSector!$B$3:$D$30,3,TRUE))</f>
        <v>-</v>
      </c>
      <c r="P86" s="4"/>
    </row>
    <row r="87" spans="2:16">
      <c r="B87" s="4"/>
      <c r="C87" s="12" t="str">
        <f>IF(B87="","-",VLOOKUP(B87,AgentSector!$B$3:$D$30,3,TRUE))</f>
        <v>-</v>
      </c>
      <c r="D87" s="16"/>
      <c r="E87" s="29"/>
      <c r="F87" s="21"/>
      <c r="G87" s="35"/>
      <c r="H87" s="25"/>
      <c r="I87" s="19"/>
      <c r="J87" s="18"/>
      <c r="K87" s="33"/>
      <c r="L87" s="23"/>
      <c r="M87" s="31"/>
      <c r="N87" s="27"/>
      <c r="O87" s="14" t="str">
        <f>IF(P87="","-",VLOOKUP(P87,AgentSector!$B$3:$D$30,3,TRUE))</f>
        <v>-</v>
      </c>
      <c r="P87" s="4"/>
    </row>
    <row r="88" spans="2:16">
      <c r="B88" s="4"/>
      <c r="C88" s="12" t="str">
        <f>IF(B88="","-",VLOOKUP(B88,AgentSector!$B$3:$D$30,3,TRUE))</f>
        <v>-</v>
      </c>
      <c r="D88" s="16"/>
      <c r="E88" s="29"/>
      <c r="F88" s="21"/>
      <c r="G88" s="35"/>
      <c r="H88" s="25"/>
      <c r="I88" s="19"/>
      <c r="J88" s="18"/>
      <c r="K88" s="33"/>
      <c r="L88" s="23"/>
      <c r="M88" s="31"/>
      <c r="N88" s="27"/>
      <c r="O88" s="14" t="str">
        <f>IF(P88="","-",VLOOKUP(P88,AgentSector!$B$3:$D$30,3,TRUE))</f>
        <v>-</v>
      </c>
      <c r="P88" s="4"/>
    </row>
    <row r="89" spans="2:16">
      <c r="B89" s="4"/>
      <c r="C89" s="12" t="str">
        <f>IF(B89="","-",VLOOKUP(B89,AgentSector!$B$3:$D$30,3,TRUE))</f>
        <v>-</v>
      </c>
      <c r="D89" s="16"/>
      <c r="E89" s="29"/>
      <c r="F89" s="21"/>
      <c r="G89" s="35"/>
      <c r="H89" s="25"/>
      <c r="I89" s="19"/>
      <c r="J89" s="18"/>
      <c r="K89" s="33"/>
      <c r="L89" s="23"/>
      <c r="M89" s="31"/>
      <c r="N89" s="27"/>
      <c r="O89" s="14" t="str">
        <f>IF(P89="","-",VLOOKUP(P89,AgentSector!$B$3:$D$30,3,TRUE))</f>
        <v>-</v>
      </c>
      <c r="P89" s="4"/>
    </row>
    <row r="90" spans="2:16">
      <c r="B90" s="4"/>
      <c r="C90" s="12" t="str">
        <f>IF(B90="","-",VLOOKUP(B90,AgentSector!$B$3:$D$30,3,TRUE))</f>
        <v>-</v>
      </c>
      <c r="D90" s="16"/>
      <c r="E90" s="29"/>
      <c r="F90" s="21"/>
      <c r="G90" s="35"/>
      <c r="H90" s="25"/>
      <c r="I90" s="19"/>
      <c r="J90" s="18"/>
      <c r="K90" s="33"/>
      <c r="L90" s="23"/>
      <c r="M90" s="31"/>
      <c r="N90" s="27"/>
      <c r="O90" s="14" t="str">
        <f>IF(P90="","-",VLOOKUP(P90,AgentSector!$B$3:$D$30,3,TRUE))</f>
        <v>-</v>
      </c>
      <c r="P90" s="4"/>
    </row>
    <row r="91" spans="2:16">
      <c r="B91" s="4"/>
      <c r="C91" s="12" t="str">
        <f>IF(B91="","-",VLOOKUP(B91,AgentSector!$B$3:$D$30,3,TRUE))</f>
        <v>-</v>
      </c>
      <c r="D91" s="16"/>
      <c r="E91" s="29"/>
      <c r="F91" s="21"/>
      <c r="G91" s="35"/>
      <c r="H91" s="25"/>
      <c r="I91" s="19"/>
      <c r="J91" s="18"/>
      <c r="K91" s="33"/>
      <c r="L91" s="23"/>
      <c r="M91" s="31"/>
      <c r="N91" s="27"/>
      <c r="O91" s="14" t="str">
        <f>IF(P91="","-",VLOOKUP(P91,AgentSector!$B$3:$D$30,3,TRUE))</f>
        <v>-</v>
      </c>
      <c r="P91" s="4"/>
    </row>
    <row r="92" spans="2:16">
      <c r="B92" s="4"/>
      <c r="C92" s="12" t="str">
        <f>IF(B92="","-",VLOOKUP(B92,AgentSector!$B$3:$D$30,3,TRUE))</f>
        <v>-</v>
      </c>
      <c r="D92" s="16"/>
      <c r="E92" s="29"/>
      <c r="F92" s="21"/>
      <c r="G92" s="35"/>
      <c r="H92" s="25"/>
      <c r="I92" s="19"/>
      <c r="J92" s="18"/>
      <c r="K92" s="33"/>
      <c r="L92" s="23"/>
      <c r="M92" s="31"/>
      <c r="N92" s="27"/>
      <c r="O92" s="14" t="str">
        <f>IF(P92="","-",VLOOKUP(P92,AgentSector!$B$3:$D$30,3,TRUE))</f>
        <v>-</v>
      </c>
      <c r="P92" s="4"/>
    </row>
    <row r="93" spans="2:16">
      <c r="B93" s="4"/>
      <c r="C93" s="12" t="str">
        <f>IF(B93="","-",VLOOKUP(B93,AgentSector!$B$3:$D$30,3,TRUE))</f>
        <v>-</v>
      </c>
      <c r="D93" s="16"/>
      <c r="E93" s="29"/>
      <c r="F93" s="21"/>
      <c r="G93" s="35"/>
      <c r="H93" s="25"/>
      <c r="I93" s="19"/>
      <c r="J93" s="18"/>
      <c r="K93" s="33"/>
      <c r="L93" s="23"/>
      <c r="M93" s="31"/>
      <c r="N93" s="27"/>
      <c r="O93" s="14" t="str">
        <f>IF(P93="","-",VLOOKUP(P93,AgentSector!$B$3:$D$30,3,TRUE))</f>
        <v>-</v>
      </c>
      <c r="P93" s="4"/>
    </row>
    <row r="94" spans="2:16">
      <c r="B94" s="4"/>
      <c r="C94" s="12" t="str">
        <f>IF(B94="","-",VLOOKUP(B94,AgentSector!$B$3:$D$30,3,TRUE))</f>
        <v>-</v>
      </c>
      <c r="D94" s="16"/>
      <c r="E94" s="29"/>
      <c r="F94" s="21"/>
      <c r="G94" s="35"/>
      <c r="H94" s="25"/>
      <c r="I94" s="19"/>
      <c r="J94" s="18"/>
      <c r="K94" s="33"/>
      <c r="L94" s="23"/>
      <c r="M94" s="31"/>
      <c r="N94" s="27"/>
      <c r="O94" s="14" t="str">
        <f>IF(P94="","-",VLOOKUP(P94,AgentSector!$B$3:$D$30,3,TRUE))</f>
        <v>-</v>
      </c>
      <c r="P94" s="4"/>
    </row>
    <row r="95" spans="2:16">
      <c r="B95" s="4"/>
      <c r="C95" s="12" t="str">
        <f>IF(B95="","-",VLOOKUP(B95,AgentSector!$B$3:$D$30,3,TRUE))</f>
        <v>-</v>
      </c>
      <c r="D95" s="16"/>
      <c r="E95" s="29"/>
      <c r="F95" s="21"/>
      <c r="G95" s="35"/>
      <c r="H95" s="25"/>
      <c r="I95" s="19"/>
      <c r="J95" s="18"/>
      <c r="K95" s="33"/>
      <c r="L95" s="23"/>
      <c r="M95" s="31"/>
      <c r="N95" s="27"/>
      <c r="O95" s="14" t="str">
        <f>IF(P95="","-",VLOOKUP(P95,AgentSector!$B$3:$D$30,3,TRUE))</f>
        <v>-</v>
      </c>
      <c r="P95" s="4"/>
    </row>
    <row r="96" spans="2:16">
      <c r="B96" s="4"/>
      <c r="C96" s="12" t="str">
        <f>IF(B96="","-",VLOOKUP(B96,AgentSector!$B$3:$D$30,3,TRUE))</f>
        <v>-</v>
      </c>
      <c r="D96" s="16"/>
      <c r="E96" s="29"/>
      <c r="F96" s="21"/>
      <c r="G96" s="35"/>
      <c r="H96" s="25"/>
      <c r="I96" s="19"/>
      <c r="J96" s="18"/>
      <c r="K96" s="33"/>
      <c r="L96" s="23"/>
      <c r="M96" s="31"/>
      <c r="N96" s="27"/>
      <c r="O96" s="14" t="str">
        <f>IF(P96="","-",VLOOKUP(P96,AgentSector!$B$3:$D$30,3,TRUE))</f>
        <v>-</v>
      </c>
      <c r="P96" s="4"/>
    </row>
    <row r="97" spans="2:16">
      <c r="B97" s="4"/>
      <c r="C97" s="12" t="str">
        <f>IF(B97="","-",VLOOKUP(B97,AgentSector!$B$3:$D$30,3,TRUE))</f>
        <v>-</v>
      </c>
      <c r="D97" s="16"/>
      <c r="E97" s="29"/>
      <c r="F97" s="21"/>
      <c r="G97" s="35"/>
      <c r="H97" s="25"/>
      <c r="I97" s="19"/>
      <c r="J97" s="18"/>
      <c r="K97" s="33"/>
      <c r="L97" s="23"/>
      <c r="M97" s="31"/>
      <c r="N97" s="27"/>
      <c r="O97" s="14" t="str">
        <f>IF(P97="","-",VLOOKUP(P97,AgentSector!$B$3:$D$30,3,TRUE))</f>
        <v>-</v>
      </c>
      <c r="P97" s="4"/>
    </row>
    <row r="98" spans="2:16">
      <c r="B98" s="4"/>
      <c r="C98" s="12" t="str">
        <f>IF(B98="","-",VLOOKUP(B98,AgentSector!$B$3:$D$30,3,TRUE))</f>
        <v>-</v>
      </c>
      <c r="D98" s="16"/>
      <c r="E98" s="29"/>
      <c r="F98" s="21"/>
      <c r="G98" s="35"/>
      <c r="H98" s="25"/>
      <c r="I98" s="19"/>
      <c r="J98" s="18"/>
      <c r="K98" s="33"/>
      <c r="L98" s="23"/>
      <c r="M98" s="31"/>
      <c r="N98" s="27"/>
      <c r="O98" s="14" t="str">
        <f>IF(P98="","-",VLOOKUP(P98,AgentSector!$B$3:$D$30,3,TRUE))</f>
        <v>-</v>
      </c>
      <c r="P98" s="4"/>
    </row>
    <row r="99" spans="2:16">
      <c r="B99" s="4"/>
      <c r="C99" s="12" t="str">
        <f>IF(B99="","-",VLOOKUP(B99,AgentSector!$B$3:$D$30,3,TRUE))</f>
        <v>-</v>
      </c>
      <c r="D99" s="16"/>
      <c r="E99" s="29"/>
      <c r="F99" s="21"/>
      <c r="G99" s="35"/>
      <c r="H99" s="25"/>
      <c r="I99" s="19"/>
      <c r="J99" s="18"/>
      <c r="K99" s="33"/>
      <c r="L99" s="23"/>
      <c r="M99" s="31"/>
      <c r="N99" s="27"/>
      <c r="O99" s="14" t="str">
        <f>IF(P99="","-",VLOOKUP(P99,AgentSector!$B$3:$D$30,3,TRUE))</f>
        <v>-</v>
      </c>
      <c r="P99" s="4"/>
    </row>
    <row r="100" spans="2:16">
      <c r="B100" s="4"/>
      <c r="C100" s="12" t="str">
        <f>IF(B100="","-",VLOOKUP(B100,AgentSector!$B$3:$D$30,3,TRUE))</f>
        <v>-</v>
      </c>
      <c r="D100" s="16"/>
      <c r="E100" s="29"/>
      <c r="F100" s="21"/>
      <c r="G100" s="35"/>
      <c r="H100" s="25"/>
      <c r="I100" s="19"/>
      <c r="J100" s="18"/>
      <c r="K100" s="33"/>
      <c r="L100" s="23"/>
      <c r="M100" s="31"/>
      <c r="N100" s="27"/>
      <c r="O100" s="14" t="str">
        <f>IF(P100="","-",VLOOKUP(P100,AgentSector!$B$3:$D$30,3,TRUE))</f>
        <v>-</v>
      </c>
      <c r="P100" s="4"/>
    </row>
    <row r="101" spans="2:16">
      <c r="B101" s="4"/>
      <c r="C101" s="12" t="str">
        <f>IF(B101="","-",VLOOKUP(B101,AgentSector!$B$3:$D$30,3,TRUE))</f>
        <v>-</v>
      </c>
      <c r="D101" s="16"/>
      <c r="E101" s="29"/>
      <c r="F101" s="21"/>
      <c r="G101" s="35"/>
      <c r="H101" s="25"/>
      <c r="I101" s="19"/>
      <c r="J101" s="18"/>
      <c r="K101" s="33"/>
      <c r="L101" s="23"/>
      <c r="M101" s="31"/>
      <c r="N101" s="27"/>
      <c r="O101" s="14" t="str">
        <f>IF(P101="","-",VLOOKUP(P101,AgentSector!$B$3:$D$30,3,TRUE))</f>
        <v>-</v>
      </c>
      <c r="P101" s="4"/>
    </row>
    <row r="102" spans="2:16">
      <c r="B102" s="4"/>
      <c r="C102" s="12" t="str">
        <f>IF(B102="","-",VLOOKUP(B102,AgentSector!$B$3:$D$30,3,TRUE))</f>
        <v>-</v>
      </c>
      <c r="D102" s="16"/>
      <c r="E102" s="29"/>
      <c r="F102" s="21"/>
      <c r="G102" s="35"/>
      <c r="H102" s="25"/>
      <c r="I102" s="19"/>
      <c r="J102" s="18"/>
      <c r="K102" s="33"/>
      <c r="L102" s="23"/>
      <c r="M102" s="31"/>
      <c r="N102" s="27"/>
      <c r="O102" s="14" t="str">
        <f>IF(P102="","-",VLOOKUP(P102,AgentSector!$B$3:$D$30,3,TRUE))</f>
        <v>-</v>
      </c>
      <c r="P102" s="4"/>
    </row>
    <row r="103" spans="2:16">
      <c r="B103" s="4"/>
      <c r="C103" s="12" t="str">
        <f>IF(B103="","-",VLOOKUP(B103,AgentSector!$B$3:$D$30,3,TRUE))</f>
        <v>-</v>
      </c>
      <c r="D103" s="16"/>
      <c r="E103" s="29"/>
      <c r="F103" s="21"/>
      <c r="G103" s="35"/>
      <c r="H103" s="25"/>
      <c r="I103" s="19"/>
      <c r="J103" s="18"/>
      <c r="K103" s="33"/>
      <c r="L103" s="23"/>
      <c r="M103" s="31"/>
      <c r="N103" s="27"/>
      <c r="O103" s="14" t="str">
        <f>IF(P103="","-",VLOOKUP(P103,AgentSector!$B$3:$D$30,3,TRUE))</f>
        <v>-</v>
      </c>
      <c r="P103" s="4"/>
    </row>
    <row r="104" spans="2:16">
      <c r="B104" s="4"/>
      <c r="C104" s="12" t="str">
        <f>IF(B104="","-",VLOOKUP(B104,AgentSector!$B$3:$D$30,3,TRUE))</f>
        <v>-</v>
      </c>
      <c r="D104" s="16"/>
      <c r="E104" s="29"/>
      <c r="F104" s="21"/>
      <c r="G104" s="35"/>
      <c r="H104" s="25"/>
      <c r="I104" s="19"/>
      <c r="J104" s="18"/>
      <c r="K104" s="33"/>
      <c r="L104" s="23"/>
      <c r="M104" s="31"/>
      <c r="N104" s="27"/>
      <c r="O104" s="14" t="str">
        <f>IF(P104="","-",VLOOKUP(P104,AgentSector!$B$3:$D$30,3,TRUE))</f>
        <v>-</v>
      </c>
      <c r="P104" s="4"/>
    </row>
    <row r="105" spans="2:16">
      <c r="B105" s="4"/>
      <c r="C105" s="12" t="str">
        <f>IF(B105="","-",VLOOKUP(B105,AgentSector!$B$3:$D$30,3,TRUE))</f>
        <v>-</v>
      </c>
      <c r="D105" s="16"/>
      <c r="E105" s="29"/>
      <c r="F105" s="21"/>
      <c r="G105" s="35"/>
      <c r="H105" s="25"/>
      <c r="I105" s="19"/>
      <c r="J105" s="18"/>
      <c r="K105" s="33"/>
      <c r="L105" s="23"/>
      <c r="M105" s="31"/>
      <c r="N105" s="27"/>
      <c r="O105" s="14" t="str">
        <f>IF(P105="","-",VLOOKUP(P105,AgentSector!$B$3:$D$30,3,TRUE))</f>
        <v>-</v>
      </c>
      <c r="P105" s="4"/>
    </row>
    <row r="106" spans="2:16">
      <c r="B106" s="4"/>
      <c r="C106" s="12" t="str">
        <f>IF(B106="","-",VLOOKUP(B106,AgentSector!$B$3:$D$30,3,TRUE))</f>
        <v>-</v>
      </c>
      <c r="D106" s="16"/>
      <c r="E106" s="29"/>
      <c r="F106" s="21"/>
      <c r="G106" s="35"/>
      <c r="H106" s="25"/>
      <c r="I106" s="19"/>
      <c r="J106" s="18"/>
      <c r="K106" s="33"/>
      <c r="L106" s="23"/>
      <c r="M106" s="31"/>
      <c r="N106" s="27"/>
      <c r="O106" s="14" t="str">
        <f>IF(P106="","-",VLOOKUP(P106,AgentSector!$B$3:$D$30,3,TRUE))</f>
        <v>-</v>
      </c>
      <c r="P106" s="4"/>
    </row>
    <row r="107" spans="2:16">
      <c r="B107" s="4"/>
      <c r="C107" s="12" t="str">
        <f>IF(B107="","-",VLOOKUP(B107,AgentSector!$B$3:$D$30,3,TRUE))</f>
        <v>-</v>
      </c>
      <c r="D107" s="16"/>
      <c r="E107" s="29"/>
      <c r="F107" s="21"/>
      <c r="G107" s="35"/>
      <c r="H107" s="25"/>
      <c r="I107" s="19"/>
      <c r="J107" s="18"/>
      <c r="K107" s="33"/>
      <c r="L107" s="23"/>
      <c r="M107" s="31"/>
      <c r="N107" s="27"/>
      <c r="O107" s="14" t="str">
        <f>IF(P107="","-",VLOOKUP(P107,AgentSector!$B$3:$D$30,3,TRUE))</f>
        <v>-</v>
      </c>
      <c r="P107" s="4"/>
    </row>
    <row r="108" spans="2:16">
      <c r="B108" s="4"/>
      <c r="C108" s="12" t="str">
        <f>IF(B108="","-",VLOOKUP(B108,AgentSector!$B$3:$D$30,3,TRUE))</f>
        <v>-</v>
      </c>
      <c r="D108" s="16"/>
      <c r="E108" s="29"/>
      <c r="F108" s="21"/>
      <c r="G108" s="35"/>
      <c r="H108" s="25"/>
      <c r="I108" s="19"/>
      <c r="J108" s="18"/>
      <c r="K108" s="33"/>
      <c r="L108" s="23"/>
      <c r="M108" s="31"/>
      <c r="N108" s="27"/>
      <c r="O108" s="14" t="str">
        <f>IF(P108="","-",VLOOKUP(P108,AgentSector!$B$3:$D$30,3,TRUE))</f>
        <v>-</v>
      </c>
      <c r="P108" s="4"/>
    </row>
    <row r="109" spans="2:16">
      <c r="B109" s="4"/>
      <c r="C109" s="12" t="str">
        <f>IF(B109="","-",VLOOKUP(B109,AgentSector!$B$3:$D$30,3,TRUE))</f>
        <v>-</v>
      </c>
      <c r="D109" s="16"/>
      <c r="E109" s="29"/>
      <c r="F109" s="21"/>
      <c r="G109" s="35"/>
      <c r="H109" s="25"/>
      <c r="I109" s="19"/>
      <c r="J109" s="18"/>
      <c r="K109" s="33"/>
      <c r="L109" s="23"/>
      <c r="M109" s="31"/>
      <c r="N109" s="27"/>
      <c r="O109" s="14" t="str">
        <f>IF(P109="","-",VLOOKUP(P109,AgentSector!$B$3:$D$30,3,TRUE))</f>
        <v>-</v>
      </c>
      <c r="P109" s="4"/>
    </row>
    <row r="110" spans="2:16">
      <c r="B110" s="4"/>
      <c r="C110" s="12" t="str">
        <f>IF(B110="","-",VLOOKUP(B110,AgentSector!$B$3:$D$30,3,TRUE))</f>
        <v>-</v>
      </c>
      <c r="D110" s="16"/>
      <c r="E110" s="29"/>
      <c r="F110" s="21"/>
      <c r="G110" s="35"/>
      <c r="H110" s="25"/>
      <c r="I110" s="19"/>
      <c r="J110" s="18"/>
      <c r="K110" s="33"/>
      <c r="L110" s="23"/>
      <c r="M110" s="31"/>
      <c r="N110" s="27"/>
      <c r="O110" s="14" t="str">
        <f>IF(P110="","-",VLOOKUP(P110,AgentSector!$B$3:$D$30,3,TRUE))</f>
        <v>-</v>
      </c>
      <c r="P110" s="4"/>
    </row>
    <row r="111" spans="2:16">
      <c r="B111" s="4"/>
      <c r="C111" s="12" t="str">
        <f>IF(B111="","-",VLOOKUP(B111,AgentSector!$B$3:$D$30,3,TRUE))</f>
        <v>-</v>
      </c>
      <c r="D111" s="16"/>
      <c r="E111" s="29"/>
      <c r="F111" s="21"/>
      <c r="G111" s="35"/>
      <c r="H111" s="25"/>
      <c r="I111" s="19"/>
      <c r="J111" s="18"/>
      <c r="K111" s="33"/>
      <c r="L111" s="23"/>
      <c r="M111" s="31"/>
      <c r="N111" s="27"/>
      <c r="O111" s="14" t="str">
        <f>IF(P111="","-",VLOOKUP(P111,AgentSector!$B$3:$D$30,3,TRUE))</f>
        <v>-</v>
      </c>
      <c r="P111" s="4"/>
    </row>
    <row r="112" spans="2:16">
      <c r="B112" s="4"/>
      <c r="C112" s="12" t="str">
        <f>IF(B112="","-",VLOOKUP(B112,AgentSector!$B$3:$D$30,3,TRUE))</f>
        <v>-</v>
      </c>
      <c r="D112" s="16"/>
      <c r="E112" s="29"/>
      <c r="F112" s="21"/>
      <c r="G112" s="35"/>
      <c r="H112" s="25"/>
      <c r="I112" s="19"/>
      <c r="J112" s="18"/>
      <c r="K112" s="33"/>
      <c r="L112" s="23"/>
      <c r="M112" s="31"/>
      <c r="N112" s="27"/>
      <c r="O112" s="14" t="str">
        <f>IF(P112="","-",VLOOKUP(P112,AgentSector!$B$3:$D$30,3,TRUE))</f>
        <v>-</v>
      </c>
      <c r="P112" s="4"/>
    </row>
    <row r="113" spans="2:16">
      <c r="B113" s="4"/>
      <c r="C113" s="12" t="str">
        <f>IF(B113="","-",VLOOKUP(B113,AgentSector!$B$3:$D$30,3,TRUE))</f>
        <v>-</v>
      </c>
      <c r="D113" s="16"/>
      <c r="E113" s="29"/>
      <c r="F113" s="21"/>
      <c r="G113" s="35"/>
      <c r="H113" s="25"/>
      <c r="I113" s="19"/>
      <c r="J113" s="18"/>
      <c r="K113" s="33"/>
      <c r="L113" s="23"/>
      <c r="M113" s="31"/>
      <c r="N113" s="27"/>
      <c r="O113" s="14" t="str">
        <f>IF(P113="","-",VLOOKUP(P113,AgentSector!$B$3:$D$30,3,TRUE))</f>
        <v>-</v>
      </c>
      <c r="P113" s="4"/>
    </row>
    <row r="114" spans="2:16">
      <c r="B114" s="4"/>
      <c r="C114" s="12" t="str">
        <f>IF(B114="","-",VLOOKUP(B114,AgentSector!$B$3:$D$30,3,TRUE))</f>
        <v>-</v>
      </c>
      <c r="D114" s="16"/>
      <c r="E114" s="29"/>
      <c r="F114" s="21"/>
      <c r="G114" s="35"/>
      <c r="H114" s="25"/>
      <c r="I114" s="19"/>
      <c r="J114" s="18"/>
      <c r="K114" s="33"/>
      <c r="L114" s="23"/>
      <c r="M114" s="31"/>
      <c r="N114" s="27"/>
      <c r="O114" s="14" t="str">
        <f>IF(P114="","-",VLOOKUP(P114,AgentSector!$B$3:$D$30,3,TRUE))</f>
        <v>-</v>
      </c>
      <c r="P114" s="4"/>
    </row>
    <row r="115" spans="2:16">
      <c r="B115" s="4"/>
      <c r="C115" s="12" t="str">
        <f>IF(B115="","-",VLOOKUP(B115,AgentSector!$B$3:$D$30,3,TRUE))</f>
        <v>-</v>
      </c>
      <c r="D115" s="16"/>
      <c r="E115" s="29"/>
      <c r="F115" s="21"/>
      <c r="G115" s="35"/>
      <c r="H115" s="25"/>
      <c r="I115" s="19"/>
      <c r="J115" s="18"/>
      <c r="K115" s="33"/>
      <c r="L115" s="23"/>
      <c r="M115" s="31"/>
      <c r="N115" s="27"/>
      <c r="O115" s="14" t="str">
        <f>IF(P115="","-",VLOOKUP(P115,AgentSector!$B$3:$D$30,3,TRUE))</f>
        <v>-</v>
      </c>
      <c r="P115" s="4"/>
    </row>
    <row r="116" spans="2:16">
      <c r="B116" s="4"/>
      <c r="C116" s="12" t="str">
        <f>IF(B116="","-",VLOOKUP(B116,AgentSector!$B$3:$D$30,3,TRUE))</f>
        <v>-</v>
      </c>
      <c r="D116" s="16"/>
      <c r="E116" s="29"/>
      <c r="F116" s="21"/>
      <c r="G116" s="35"/>
      <c r="H116" s="25"/>
      <c r="I116" s="19"/>
      <c r="J116" s="18"/>
      <c r="K116" s="33"/>
      <c r="L116" s="23"/>
      <c r="M116" s="31"/>
      <c r="N116" s="27"/>
      <c r="O116" s="14" t="str">
        <f>IF(P116="","-",VLOOKUP(P116,AgentSector!$B$3:$D$30,3,TRUE))</f>
        <v>-</v>
      </c>
      <c r="P116" s="4"/>
    </row>
    <row r="117" spans="2:16">
      <c r="B117" s="4"/>
      <c r="C117" s="12" t="str">
        <f>IF(B117="","-",VLOOKUP(B117,AgentSector!$B$3:$D$30,3,TRUE))</f>
        <v>-</v>
      </c>
      <c r="D117" s="16"/>
      <c r="E117" s="29"/>
      <c r="F117" s="21"/>
      <c r="G117" s="35"/>
      <c r="H117" s="25"/>
      <c r="I117" s="19"/>
      <c r="J117" s="18"/>
      <c r="K117" s="33"/>
      <c r="L117" s="23"/>
      <c r="M117" s="31"/>
      <c r="N117" s="27"/>
      <c r="O117" s="14" t="str">
        <f>IF(P117="","-",VLOOKUP(P117,AgentSector!$B$3:$D$30,3,TRUE))</f>
        <v>-</v>
      </c>
      <c r="P117" s="4"/>
    </row>
    <row r="118" spans="2:16">
      <c r="B118" s="4"/>
      <c r="C118" s="12" t="str">
        <f>IF(B118="","-",VLOOKUP(B118,AgentSector!$B$3:$D$30,3,TRUE))</f>
        <v>-</v>
      </c>
      <c r="D118" s="16"/>
      <c r="E118" s="29"/>
      <c r="F118" s="21"/>
      <c r="G118" s="35"/>
      <c r="H118" s="25"/>
      <c r="I118" s="19"/>
      <c r="J118" s="18"/>
      <c r="K118" s="33"/>
      <c r="L118" s="23"/>
      <c r="M118" s="31"/>
      <c r="N118" s="27"/>
      <c r="O118" s="14" t="str">
        <f>IF(P118="","-",VLOOKUP(P118,AgentSector!$B$3:$D$30,3,TRUE))</f>
        <v>-</v>
      </c>
      <c r="P118" s="4"/>
    </row>
    <row r="119" spans="2:16">
      <c r="B119" s="4"/>
      <c r="C119" s="12" t="str">
        <f>IF(B119="","-",VLOOKUP(B119,AgentSector!$B$3:$D$30,3,TRUE))</f>
        <v>-</v>
      </c>
      <c r="D119" s="16"/>
      <c r="E119" s="29"/>
      <c r="F119" s="21"/>
      <c r="G119" s="35"/>
      <c r="H119" s="25"/>
      <c r="I119" s="19"/>
      <c r="J119" s="18"/>
      <c r="K119" s="33"/>
      <c r="L119" s="23"/>
      <c r="M119" s="31"/>
      <c r="N119" s="27"/>
      <c r="O119" s="14" t="str">
        <f>IF(P119="","-",VLOOKUP(P119,AgentSector!$B$3:$D$30,3,TRUE))</f>
        <v>-</v>
      </c>
      <c r="P119" s="4"/>
    </row>
    <row r="120" spans="2:16">
      <c r="B120" s="4"/>
      <c r="C120" s="12" t="str">
        <f>IF(B120="","-",VLOOKUP(B120,AgentSector!$B$3:$D$30,3,TRUE))</f>
        <v>-</v>
      </c>
      <c r="D120" s="16"/>
      <c r="E120" s="29"/>
      <c r="F120" s="21"/>
      <c r="G120" s="35"/>
      <c r="H120" s="25"/>
      <c r="I120" s="19"/>
      <c r="J120" s="18"/>
      <c r="K120" s="33"/>
      <c r="L120" s="23"/>
      <c r="M120" s="31"/>
      <c r="N120" s="27"/>
      <c r="O120" s="14" t="str">
        <f>IF(P120="","-",VLOOKUP(P120,AgentSector!$B$3:$D$30,3,TRUE))</f>
        <v>-</v>
      </c>
      <c r="P120" s="4"/>
    </row>
    <row r="121" spans="2:16">
      <c r="B121" s="4"/>
      <c r="C121" s="12" t="str">
        <f>IF(B121="","-",VLOOKUP(B121,AgentSector!$B$3:$D$30,3,TRUE))</f>
        <v>-</v>
      </c>
      <c r="D121" s="16"/>
      <c r="E121" s="29"/>
      <c r="F121" s="21"/>
      <c r="G121" s="35"/>
      <c r="H121" s="25"/>
      <c r="I121" s="19"/>
      <c r="J121" s="18"/>
      <c r="K121" s="33"/>
      <c r="L121" s="23"/>
      <c r="M121" s="31"/>
      <c r="N121" s="27"/>
      <c r="O121" s="14" t="str">
        <f>IF(P121="","-",VLOOKUP(P121,AgentSector!$B$3:$D$30,3,TRUE))</f>
        <v>-</v>
      </c>
      <c r="P121" s="4"/>
    </row>
    <row r="122" spans="2:16">
      <c r="B122" s="4"/>
      <c r="C122" s="12" t="str">
        <f>IF(B122="","-",VLOOKUP(B122,AgentSector!$B$3:$D$30,3,TRUE))</f>
        <v>-</v>
      </c>
      <c r="D122" s="16"/>
      <c r="E122" s="29"/>
      <c r="F122" s="21"/>
      <c r="G122" s="35"/>
      <c r="H122" s="25"/>
      <c r="I122" s="19"/>
      <c r="J122" s="18"/>
      <c r="K122" s="33"/>
      <c r="L122" s="23"/>
      <c r="M122" s="31"/>
      <c r="N122" s="27"/>
      <c r="O122" s="14" t="str">
        <f>IF(P122="","-",VLOOKUP(P122,AgentSector!$B$3:$D$30,3,TRUE))</f>
        <v>-</v>
      </c>
      <c r="P122" s="4"/>
    </row>
    <row r="123" spans="2:16">
      <c r="B123" s="4"/>
      <c r="C123" s="12" t="str">
        <f>IF(B123="","-",VLOOKUP(B123,AgentSector!$B$3:$D$30,3,TRUE))</f>
        <v>-</v>
      </c>
      <c r="D123" s="16"/>
      <c r="E123" s="29"/>
      <c r="F123" s="21"/>
      <c r="G123" s="35"/>
      <c r="H123" s="25"/>
      <c r="I123" s="19"/>
      <c r="J123" s="18"/>
      <c r="K123" s="33"/>
      <c r="L123" s="23"/>
      <c r="M123" s="31"/>
      <c r="N123" s="27"/>
      <c r="O123" s="14" t="str">
        <f>IF(P123="","-",VLOOKUP(P123,AgentSector!$B$3:$D$30,3,TRUE))</f>
        <v>-</v>
      </c>
      <c r="P123" s="4"/>
    </row>
    <row r="124" spans="2:16">
      <c r="B124" s="4"/>
      <c r="C124" s="12" t="str">
        <f>IF(B124="","-",VLOOKUP(B124,AgentSector!$B$3:$D$30,3,TRUE))</f>
        <v>-</v>
      </c>
      <c r="D124" s="16"/>
      <c r="E124" s="29"/>
      <c r="F124" s="21"/>
      <c r="G124" s="35"/>
      <c r="H124" s="25"/>
      <c r="I124" s="19"/>
      <c r="J124" s="18"/>
      <c r="K124" s="33"/>
      <c r="L124" s="23"/>
      <c r="M124" s="31"/>
      <c r="N124" s="27"/>
      <c r="O124" s="14" t="str">
        <f>IF(P124="","-",VLOOKUP(P124,AgentSector!$B$3:$D$30,3,TRUE))</f>
        <v>-</v>
      </c>
      <c r="P124" s="4"/>
    </row>
    <row r="125" spans="2:16">
      <c r="B125" s="4"/>
      <c r="C125" s="12" t="str">
        <f>IF(B125="","-",VLOOKUP(B125,AgentSector!$B$3:$D$30,3,TRUE))</f>
        <v>-</v>
      </c>
      <c r="D125" s="16"/>
      <c r="E125" s="29"/>
      <c r="F125" s="21"/>
      <c r="G125" s="35"/>
      <c r="H125" s="25"/>
      <c r="I125" s="19"/>
      <c r="J125" s="18"/>
      <c r="K125" s="33"/>
      <c r="L125" s="23"/>
      <c r="M125" s="31"/>
      <c r="N125" s="27"/>
      <c r="O125" s="14" t="str">
        <f>IF(P125="","-",VLOOKUP(P125,AgentSector!$B$3:$D$30,3,TRUE))</f>
        <v>-</v>
      </c>
      <c r="P125" s="4"/>
    </row>
    <row r="126" spans="2:16">
      <c r="B126" s="4"/>
      <c r="C126" s="12" t="str">
        <f>IF(B126="","-",VLOOKUP(B126,AgentSector!$B$3:$D$30,3,TRUE))</f>
        <v>-</v>
      </c>
      <c r="D126" s="16"/>
      <c r="E126" s="29"/>
      <c r="F126" s="21"/>
      <c r="G126" s="35"/>
      <c r="H126" s="25"/>
      <c r="I126" s="19"/>
      <c r="J126" s="18"/>
      <c r="K126" s="33"/>
      <c r="L126" s="23"/>
      <c r="M126" s="31"/>
      <c r="N126" s="27"/>
      <c r="O126" s="14" t="str">
        <f>IF(P126="","-",VLOOKUP(P126,AgentSector!$B$3:$D$30,3,TRUE))</f>
        <v>-</v>
      </c>
      <c r="P126" s="4"/>
    </row>
    <row r="127" spans="2:16">
      <c r="B127" s="4"/>
      <c r="C127" s="12" t="str">
        <f>IF(B127="","-",VLOOKUP(B127,AgentSector!$B$3:$D$30,3,TRUE))</f>
        <v>-</v>
      </c>
      <c r="D127" s="16"/>
      <c r="E127" s="29"/>
      <c r="F127" s="21"/>
      <c r="G127" s="35"/>
      <c r="H127" s="25"/>
      <c r="I127" s="19"/>
      <c r="J127" s="18"/>
      <c r="K127" s="33"/>
      <c r="L127" s="23"/>
      <c r="M127" s="31"/>
      <c r="N127" s="27"/>
      <c r="O127" s="14" t="str">
        <f>IF(P127="","-",VLOOKUP(P127,AgentSector!$B$3:$D$30,3,TRUE))</f>
        <v>-</v>
      </c>
      <c r="P127" s="4"/>
    </row>
    <row r="128" spans="2:16">
      <c r="B128" s="4"/>
      <c r="C128" s="12" t="str">
        <f>IF(B128="","-",VLOOKUP(B128,AgentSector!$B$3:$D$30,3,TRUE))</f>
        <v>-</v>
      </c>
      <c r="D128" s="16"/>
      <c r="E128" s="29"/>
      <c r="F128" s="21"/>
      <c r="G128" s="35"/>
      <c r="H128" s="25"/>
      <c r="I128" s="19"/>
      <c r="J128" s="18"/>
      <c r="K128" s="33"/>
      <c r="L128" s="23"/>
      <c r="M128" s="31"/>
      <c r="N128" s="27"/>
      <c r="O128" s="14" t="str">
        <f>IF(P128="","-",VLOOKUP(P128,AgentSector!$B$3:$D$30,3,TRUE))</f>
        <v>-</v>
      </c>
      <c r="P128" s="4"/>
    </row>
    <row r="129" spans="2:16">
      <c r="B129" s="4"/>
      <c r="C129" s="12" t="str">
        <f>IF(B129="","-",VLOOKUP(B129,AgentSector!$B$3:$D$30,3,TRUE))</f>
        <v>-</v>
      </c>
      <c r="D129" s="16"/>
      <c r="E129" s="29"/>
      <c r="F129" s="21"/>
      <c r="G129" s="35"/>
      <c r="H129" s="25"/>
      <c r="I129" s="19"/>
      <c r="J129" s="18"/>
      <c r="K129" s="33"/>
      <c r="L129" s="23"/>
      <c r="M129" s="31"/>
      <c r="N129" s="27"/>
      <c r="O129" s="14" t="str">
        <f>IF(P129="","-",VLOOKUP(P129,AgentSector!$B$3:$D$30,3,TRUE))</f>
        <v>-</v>
      </c>
      <c r="P129" s="4"/>
    </row>
    <row r="130" spans="2:16">
      <c r="B130" s="4"/>
      <c r="C130" s="12" t="str">
        <f>IF(B130="","-",VLOOKUP(B130,AgentSector!$B$3:$D$30,3,TRUE))</f>
        <v>-</v>
      </c>
      <c r="D130" s="16"/>
      <c r="E130" s="29"/>
      <c r="F130" s="21"/>
      <c r="G130" s="35"/>
      <c r="H130" s="25"/>
      <c r="I130" s="19"/>
      <c r="J130" s="18"/>
      <c r="K130" s="33"/>
      <c r="L130" s="23"/>
      <c r="M130" s="31"/>
      <c r="N130" s="27"/>
      <c r="O130" s="14" t="str">
        <f>IF(P130="","-",VLOOKUP(P130,AgentSector!$B$3:$D$30,3,TRUE))</f>
        <v>-</v>
      </c>
      <c r="P130" s="4"/>
    </row>
    <row r="131" spans="2:16">
      <c r="B131" s="4"/>
      <c r="C131" s="12" t="str">
        <f>IF(B131="","-",VLOOKUP(B131,AgentSector!$B$3:$D$30,3,TRUE))</f>
        <v>-</v>
      </c>
      <c r="D131" s="16"/>
      <c r="E131" s="29"/>
      <c r="F131" s="21"/>
      <c r="G131" s="35"/>
      <c r="H131" s="25"/>
      <c r="I131" s="19"/>
      <c r="J131" s="18"/>
      <c r="K131" s="33"/>
      <c r="L131" s="23"/>
      <c r="M131" s="31"/>
      <c r="N131" s="27"/>
      <c r="O131" s="14" t="str">
        <f>IF(P131="","-",VLOOKUP(P131,AgentSector!$B$3:$D$30,3,TRUE))</f>
        <v>-</v>
      </c>
      <c r="P131" s="4"/>
    </row>
    <row r="132" spans="2:16">
      <c r="B132" s="4"/>
      <c r="C132" s="12" t="str">
        <f>IF(B132="","-",VLOOKUP(B132,AgentSector!$B$3:$D$30,3,TRUE))</f>
        <v>-</v>
      </c>
      <c r="D132" s="16"/>
      <c r="E132" s="29"/>
      <c r="F132" s="21"/>
      <c r="G132" s="35"/>
      <c r="H132" s="25"/>
      <c r="I132" s="19"/>
      <c r="J132" s="18"/>
      <c r="K132" s="33"/>
      <c r="L132" s="23"/>
      <c r="M132" s="31"/>
      <c r="N132" s="27"/>
      <c r="O132" s="14" t="str">
        <f>IF(P132="","-",VLOOKUP(P132,AgentSector!$B$3:$D$30,3,TRUE))</f>
        <v>-</v>
      </c>
      <c r="P132" s="4"/>
    </row>
    <row r="133" spans="2:16">
      <c r="B133" s="4"/>
      <c r="C133" s="12" t="str">
        <f>IF(B133="","-",VLOOKUP(B133,AgentSector!$B$3:$D$30,3,TRUE))</f>
        <v>-</v>
      </c>
      <c r="D133" s="16"/>
      <c r="E133" s="29"/>
      <c r="F133" s="21"/>
      <c r="G133" s="35"/>
      <c r="H133" s="25"/>
      <c r="I133" s="19"/>
      <c r="J133" s="18"/>
      <c r="K133" s="33"/>
      <c r="L133" s="23"/>
      <c r="M133" s="31"/>
      <c r="N133" s="27"/>
      <c r="O133" s="14" t="str">
        <f>IF(P133="","-",VLOOKUP(P133,AgentSector!$B$3:$D$30,3,TRUE))</f>
        <v>-</v>
      </c>
      <c r="P133" s="4"/>
    </row>
    <row r="134" spans="2:16">
      <c r="B134" s="4"/>
      <c r="C134" s="12" t="str">
        <f>IF(B134="","-",VLOOKUP(B134,AgentSector!$B$3:$D$30,3,TRUE))</f>
        <v>-</v>
      </c>
      <c r="D134" s="16"/>
      <c r="E134" s="29"/>
      <c r="F134" s="21"/>
      <c r="G134" s="35"/>
      <c r="H134" s="25"/>
      <c r="I134" s="19"/>
      <c r="J134" s="18"/>
      <c r="K134" s="33"/>
      <c r="L134" s="23"/>
      <c r="M134" s="31"/>
      <c r="N134" s="27"/>
      <c r="O134" s="14" t="str">
        <f>IF(P134="","-",VLOOKUP(P134,AgentSector!$B$3:$D$30,3,TRUE))</f>
        <v>-</v>
      </c>
      <c r="P134" s="4"/>
    </row>
    <row r="135" spans="2:16">
      <c r="B135" s="4"/>
      <c r="C135" s="12" t="str">
        <f>IF(B135="","-",VLOOKUP(B135,AgentSector!$B$3:$D$30,3,TRUE))</f>
        <v>-</v>
      </c>
      <c r="D135" s="16"/>
      <c r="E135" s="29"/>
      <c r="F135" s="21"/>
      <c r="G135" s="35"/>
      <c r="H135" s="25"/>
      <c r="I135" s="19"/>
      <c r="J135" s="18"/>
      <c r="K135" s="33"/>
      <c r="L135" s="23"/>
      <c r="M135" s="31"/>
      <c r="N135" s="27"/>
      <c r="O135" s="14" t="str">
        <f>IF(P135="","-",VLOOKUP(P135,AgentSector!$B$3:$D$30,3,TRUE))</f>
        <v>-</v>
      </c>
      <c r="P135" s="4"/>
    </row>
    <row r="136" spans="2:16">
      <c r="B136" s="4"/>
      <c r="C136" s="12" t="str">
        <f>IF(B136="","-",VLOOKUP(B136,AgentSector!$B$3:$D$30,3,TRUE))</f>
        <v>-</v>
      </c>
      <c r="D136" s="16"/>
      <c r="E136" s="29"/>
      <c r="F136" s="21"/>
      <c r="G136" s="35"/>
      <c r="H136" s="25"/>
      <c r="I136" s="19"/>
      <c r="J136" s="18"/>
      <c r="K136" s="33"/>
      <c r="L136" s="23"/>
      <c r="M136" s="31"/>
      <c r="N136" s="27"/>
      <c r="O136" s="14" t="str">
        <f>IF(P136="","-",VLOOKUP(P136,AgentSector!$B$3:$D$30,3,TRUE))</f>
        <v>-</v>
      </c>
      <c r="P136" s="4"/>
    </row>
    <row r="137" spans="2:16">
      <c r="B137" s="4"/>
      <c r="C137" s="12" t="str">
        <f>IF(B137="","-",VLOOKUP(B137,AgentSector!$B$3:$D$30,3,TRUE))</f>
        <v>-</v>
      </c>
      <c r="D137" s="16"/>
      <c r="E137" s="29"/>
      <c r="F137" s="21"/>
      <c r="G137" s="35"/>
      <c r="H137" s="25"/>
      <c r="I137" s="19"/>
      <c r="J137" s="18"/>
      <c r="K137" s="33"/>
      <c r="L137" s="23"/>
      <c r="M137" s="31"/>
      <c r="N137" s="27"/>
      <c r="O137" s="14" t="str">
        <f>IF(P137="","-",VLOOKUP(P137,AgentSector!$B$3:$D$30,3,TRUE))</f>
        <v>-</v>
      </c>
      <c r="P137" s="4"/>
    </row>
    <row r="138" spans="2:16">
      <c r="B138" s="4"/>
      <c r="C138" s="12" t="str">
        <f>IF(B138="","-",VLOOKUP(B138,AgentSector!$B$3:$D$30,3,TRUE))</f>
        <v>-</v>
      </c>
      <c r="D138" s="16"/>
      <c r="E138" s="29"/>
      <c r="F138" s="21"/>
      <c r="G138" s="35"/>
      <c r="H138" s="25"/>
      <c r="I138" s="19"/>
      <c r="J138" s="18"/>
      <c r="K138" s="33"/>
      <c r="L138" s="23"/>
      <c r="M138" s="31"/>
      <c r="N138" s="27"/>
      <c r="O138" s="14" t="str">
        <f>IF(P138="","-",VLOOKUP(P138,AgentSector!$B$3:$D$30,3,TRUE))</f>
        <v>-</v>
      </c>
      <c r="P138" s="4"/>
    </row>
    <row r="139" spans="2:16">
      <c r="B139" s="4"/>
      <c r="C139" s="12" t="str">
        <f>IF(B139="","-",VLOOKUP(B139,AgentSector!$B$3:$D$30,3,TRUE))</f>
        <v>-</v>
      </c>
      <c r="D139" s="16"/>
      <c r="E139" s="29"/>
      <c r="F139" s="21"/>
      <c r="G139" s="35"/>
      <c r="H139" s="25"/>
      <c r="I139" s="19"/>
      <c r="J139" s="18"/>
      <c r="K139" s="33"/>
      <c r="L139" s="23"/>
      <c r="M139" s="31"/>
      <c r="N139" s="27"/>
      <c r="O139" s="14" t="str">
        <f>IF(P139="","-",VLOOKUP(P139,AgentSector!$B$3:$D$30,3,TRUE))</f>
        <v>-</v>
      </c>
      <c r="P139" s="4"/>
    </row>
    <row r="140" spans="2:16">
      <c r="B140" s="4"/>
      <c r="C140" s="12" t="str">
        <f>IF(B140="","-",VLOOKUP(B140,AgentSector!$B$3:$D$30,3,TRUE))</f>
        <v>-</v>
      </c>
      <c r="D140" s="16"/>
      <c r="E140" s="29"/>
      <c r="F140" s="21"/>
      <c r="G140" s="35"/>
      <c r="H140" s="25"/>
      <c r="I140" s="19"/>
      <c r="J140" s="18"/>
      <c r="K140" s="33"/>
      <c r="L140" s="23"/>
      <c r="M140" s="31"/>
      <c r="N140" s="27"/>
      <c r="O140" s="14" t="str">
        <f>IF(P140="","-",VLOOKUP(P140,AgentSector!$B$3:$D$30,3,TRUE))</f>
        <v>-</v>
      </c>
      <c r="P140" s="4"/>
    </row>
    <row r="141" spans="2:16">
      <c r="B141" s="4"/>
      <c r="C141" s="12" t="str">
        <f>IF(B141="","-",VLOOKUP(B141,AgentSector!$B$3:$D$30,3,TRUE))</f>
        <v>-</v>
      </c>
      <c r="D141" s="16"/>
      <c r="E141" s="29"/>
      <c r="F141" s="21"/>
      <c r="G141" s="35"/>
      <c r="H141" s="25"/>
      <c r="I141" s="19"/>
      <c r="J141" s="18"/>
      <c r="K141" s="33"/>
      <c r="L141" s="23"/>
      <c r="M141" s="31"/>
      <c r="N141" s="27"/>
      <c r="O141" s="14" t="str">
        <f>IF(P141="","-",VLOOKUP(P141,AgentSector!$B$3:$D$30,3,TRUE))</f>
        <v>-</v>
      </c>
      <c r="P141" s="4"/>
    </row>
    <row r="142" spans="2:16">
      <c r="B142" s="4"/>
      <c r="C142" s="12" t="str">
        <f>IF(B142="","-",VLOOKUP(B142,AgentSector!$B$3:$D$30,3,TRUE))</f>
        <v>-</v>
      </c>
      <c r="D142" s="16"/>
      <c r="E142" s="29"/>
      <c r="F142" s="21"/>
      <c r="G142" s="35"/>
      <c r="H142" s="25"/>
      <c r="I142" s="19"/>
      <c r="J142" s="18"/>
      <c r="K142" s="33"/>
      <c r="L142" s="23"/>
      <c r="M142" s="31"/>
      <c r="N142" s="27"/>
      <c r="O142" s="14" t="str">
        <f>IF(P142="","-",VLOOKUP(P142,AgentSector!$B$3:$D$30,3,TRUE))</f>
        <v>-</v>
      </c>
      <c r="P142" s="4"/>
    </row>
    <row r="143" spans="2:16">
      <c r="B143" s="4"/>
      <c r="C143" s="12" t="str">
        <f>IF(B143="","-",VLOOKUP(B143,AgentSector!$B$3:$D$30,3,TRUE))</f>
        <v>-</v>
      </c>
      <c r="D143" s="16"/>
      <c r="E143" s="29"/>
      <c r="F143" s="21"/>
      <c r="G143" s="35"/>
      <c r="H143" s="25"/>
      <c r="I143" s="19"/>
      <c r="J143" s="18"/>
      <c r="K143" s="33"/>
      <c r="L143" s="23"/>
      <c r="M143" s="31"/>
      <c r="N143" s="27"/>
      <c r="O143" s="14" t="str">
        <f>IF(P143="","-",VLOOKUP(P143,AgentSector!$B$3:$D$30,3,TRUE))</f>
        <v>-</v>
      </c>
      <c r="P143" s="4"/>
    </row>
    <row r="144" spans="2:16">
      <c r="B144" s="4"/>
      <c r="C144" s="12" t="str">
        <f>IF(B144="","-",VLOOKUP(B144,AgentSector!$B$3:$D$30,3,TRUE))</f>
        <v>-</v>
      </c>
      <c r="D144" s="16"/>
      <c r="E144" s="29"/>
      <c r="F144" s="21"/>
      <c r="G144" s="35"/>
      <c r="H144" s="25"/>
      <c r="I144" s="19"/>
      <c r="J144" s="18"/>
      <c r="K144" s="33"/>
      <c r="L144" s="23"/>
      <c r="M144" s="31"/>
      <c r="N144" s="27"/>
      <c r="O144" s="14" t="str">
        <f>IF(P144="","-",VLOOKUP(P144,AgentSector!$B$3:$D$30,3,TRUE))</f>
        <v>-</v>
      </c>
      <c r="P144" s="4"/>
    </row>
    <row r="145" spans="2:16">
      <c r="B145" s="4"/>
      <c r="C145" s="12" t="str">
        <f>IF(B145="","-",VLOOKUP(B145,AgentSector!$B$3:$D$30,3,TRUE))</f>
        <v>-</v>
      </c>
      <c r="D145" s="16"/>
      <c r="E145" s="29"/>
      <c r="F145" s="21"/>
      <c r="G145" s="35"/>
      <c r="H145" s="25"/>
      <c r="I145" s="19"/>
      <c r="J145" s="18"/>
      <c r="K145" s="33"/>
      <c r="L145" s="23"/>
      <c r="M145" s="31"/>
      <c r="N145" s="27"/>
      <c r="O145" s="14" t="str">
        <f>IF(P145="","-",VLOOKUP(P145,AgentSector!$B$3:$D$30,3,TRUE))</f>
        <v>-</v>
      </c>
      <c r="P145" s="4"/>
    </row>
    <row r="146" spans="2:16">
      <c r="B146" s="4"/>
      <c r="C146" s="12" t="str">
        <f>IF(B146="","-",VLOOKUP(B146,AgentSector!$B$3:$D$30,3,TRUE))</f>
        <v>-</v>
      </c>
      <c r="D146" s="16"/>
      <c r="E146" s="29"/>
      <c r="F146" s="21"/>
      <c r="G146" s="35"/>
      <c r="H146" s="25"/>
      <c r="I146" s="19"/>
      <c r="J146" s="18"/>
      <c r="K146" s="33"/>
      <c r="L146" s="23"/>
      <c r="M146" s="31"/>
      <c r="N146" s="27"/>
      <c r="O146" s="14" t="str">
        <f>IF(P146="","-",VLOOKUP(P146,AgentSector!$B$3:$D$30,3,TRUE))</f>
        <v>-</v>
      </c>
      <c r="P146" s="4"/>
    </row>
    <row r="147" spans="2:16">
      <c r="B147" s="4"/>
      <c r="C147" s="12" t="str">
        <f>IF(B147="","-",VLOOKUP(B147,AgentSector!$B$3:$D$30,3,TRUE))</f>
        <v>-</v>
      </c>
      <c r="D147" s="16"/>
      <c r="E147" s="29"/>
      <c r="F147" s="21"/>
      <c r="G147" s="35"/>
      <c r="H147" s="25"/>
      <c r="I147" s="19"/>
      <c r="J147" s="18"/>
      <c r="K147" s="33"/>
      <c r="L147" s="23"/>
      <c r="M147" s="31"/>
      <c r="N147" s="27"/>
      <c r="O147" s="14" t="str">
        <f>IF(P147="","-",VLOOKUP(P147,AgentSector!$B$3:$D$30,3,TRUE))</f>
        <v>-</v>
      </c>
      <c r="P147" s="4"/>
    </row>
    <row r="148" spans="2:16">
      <c r="B148" s="4"/>
      <c r="C148" s="12" t="str">
        <f>IF(B148="","-",VLOOKUP(B148,AgentSector!$B$3:$D$30,3,TRUE))</f>
        <v>-</v>
      </c>
      <c r="D148" s="16"/>
      <c r="E148" s="29"/>
      <c r="F148" s="21"/>
      <c r="G148" s="35"/>
      <c r="H148" s="25"/>
      <c r="I148" s="19"/>
      <c r="J148" s="18"/>
      <c r="K148" s="33"/>
      <c r="L148" s="23"/>
      <c r="M148" s="31"/>
      <c r="N148" s="27"/>
      <c r="O148" s="14" t="str">
        <f>IF(P148="","-",VLOOKUP(P148,AgentSector!$B$3:$D$30,3,TRUE))</f>
        <v>-</v>
      </c>
      <c r="P148" s="4"/>
    </row>
    <row r="149" spans="2:16">
      <c r="B149" s="4"/>
      <c r="C149" s="12" t="str">
        <f>IF(B149="","-",VLOOKUP(B149,AgentSector!$B$3:$D$30,3,TRUE))</f>
        <v>-</v>
      </c>
      <c r="D149" s="16"/>
      <c r="E149" s="29"/>
      <c r="F149" s="21"/>
      <c r="G149" s="35"/>
      <c r="H149" s="25"/>
      <c r="I149" s="19"/>
      <c r="J149" s="18"/>
      <c r="K149" s="33"/>
      <c r="L149" s="23"/>
      <c r="M149" s="31"/>
      <c r="N149" s="27"/>
      <c r="O149" s="14" t="str">
        <f>IF(P149="","-",VLOOKUP(P149,AgentSector!$B$3:$D$30,3,TRUE))</f>
        <v>-</v>
      </c>
      <c r="P149" s="4"/>
    </row>
    <row r="150" spans="2:16">
      <c r="B150" s="4"/>
      <c r="C150" s="12" t="str">
        <f>IF(B150="","-",VLOOKUP(B150,AgentSector!$B$3:$D$30,3,TRUE))</f>
        <v>-</v>
      </c>
      <c r="D150" s="16"/>
      <c r="E150" s="29"/>
      <c r="F150" s="21"/>
      <c r="G150" s="35"/>
      <c r="H150" s="25"/>
      <c r="I150" s="19"/>
      <c r="J150" s="18"/>
      <c r="K150" s="33"/>
      <c r="L150" s="23"/>
      <c r="M150" s="31"/>
      <c r="N150" s="27"/>
      <c r="O150" s="14" t="str">
        <f>IF(P150="","-",VLOOKUP(P150,AgentSector!$B$3:$D$30,3,TRUE))</f>
        <v>-</v>
      </c>
      <c r="P150" s="4"/>
    </row>
    <row r="151" spans="2:16">
      <c r="B151" s="4"/>
      <c r="C151" s="12" t="str">
        <f>IF(B151="","-",VLOOKUP(B151,AgentSector!$B$3:$D$30,3,TRUE))</f>
        <v>-</v>
      </c>
      <c r="D151" s="16"/>
      <c r="E151" s="29"/>
      <c r="F151" s="21"/>
      <c r="G151" s="35"/>
      <c r="H151" s="25"/>
      <c r="I151" s="19"/>
      <c r="J151" s="18"/>
      <c r="K151" s="33"/>
      <c r="L151" s="23"/>
      <c r="M151" s="31"/>
      <c r="N151" s="27"/>
      <c r="O151" s="14" t="str">
        <f>IF(P151="","-",VLOOKUP(P151,AgentSector!$B$3:$D$30,3,TRUE))</f>
        <v>-</v>
      </c>
      <c r="P151" s="4"/>
    </row>
    <row r="152" spans="2:16">
      <c r="B152" s="4"/>
      <c r="C152" s="12" t="str">
        <f>IF(B152="","-",VLOOKUP(B152,AgentSector!$B$3:$D$30,3,TRUE))</f>
        <v>-</v>
      </c>
      <c r="D152" s="16"/>
      <c r="E152" s="29"/>
      <c r="F152" s="21"/>
      <c r="G152" s="35"/>
      <c r="H152" s="25"/>
      <c r="I152" s="19"/>
      <c r="J152" s="18"/>
      <c r="K152" s="33"/>
      <c r="L152" s="23"/>
      <c r="M152" s="31"/>
      <c r="N152" s="27"/>
      <c r="O152" s="14" t="str">
        <f>IF(P152="","-",VLOOKUP(P152,AgentSector!$B$3:$D$30,3,TRUE))</f>
        <v>-</v>
      </c>
      <c r="P152" s="4"/>
    </row>
    <row r="153" spans="2:16">
      <c r="B153" s="4"/>
      <c r="C153" s="12" t="str">
        <f>IF(B153="","-",VLOOKUP(B153,AgentSector!$B$3:$D$30,3,TRUE))</f>
        <v>-</v>
      </c>
      <c r="D153" s="16"/>
      <c r="E153" s="29"/>
      <c r="F153" s="21"/>
      <c r="G153" s="35"/>
      <c r="H153" s="25"/>
      <c r="I153" s="19"/>
      <c r="J153" s="18"/>
      <c r="K153" s="33"/>
      <c r="L153" s="23"/>
      <c r="M153" s="31"/>
      <c r="N153" s="27"/>
      <c r="O153" s="14" t="str">
        <f>IF(P153="","-",VLOOKUP(P153,AgentSector!$B$3:$D$30,3,TRUE))</f>
        <v>-</v>
      </c>
      <c r="P153" s="4"/>
    </row>
    <row r="154" spans="2:16">
      <c r="B154" s="4"/>
      <c r="C154" s="12" t="str">
        <f>IF(B154="","-",VLOOKUP(B154,AgentSector!$B$3:$D$30,3,TRUE))</f>
        <v>-</v>
      </c>
      <c r="D154" s="16"/>
      <c r="E154" s="29"/>
      <c r="F154" s="21"/>
      <c r="G154" s="35"/>
      <c r="H154" s="25"/>
      <c r="I154" s="19"/>
      <c r="J154" s="18"/>
      <c r="K154" s="33"/>
      <c r="L154" s="23"/>
      <c r="M154" s="31"/>
      <c r="N154" s="27"/>
      <c r="O154" s="14" t="str">
        <f>IF(P154="","-",VLOOKUP(P154,AgentSector!$B$3:$D$30,3,TRUE))</f>
        <v>-</v>
      </c>
      <c r="P154" s="4"/>
    </row>
    <row r="155" spans="2:16">
      <c r="B155" s="4"/>
      <c r="C155" s="12" t="str">
        <f>IF(B155="","-",VLOOKUP(B155,AgentSector!$B$3:$D$30,3,TRUE))</f>
        <v>-</v>
      </c>
      <c r="D155" s="16"/>
      <c r="E155" s="29"/>
      <c r="F155" s="21"/>
      <c r="G155" s="35"/>
      <c r="H155" s="25"/>
      <c r="I155" s="19"/>
      <c r="J155" s="18"/>
      <c r="K155" s="33"/>
      <c r="L155" s="23"/>
      <c r="M155" s="31"/>
      <c r="N155" s="27"/>
      <c r="O155" s="14" t="str">
        <f>IF(P155="","-",VLOOKUP(P155,AgentSector!$B$3:$D$30,3,TRUE))</f>
        <v>-</v>
      </c>
      <c r="P155" s="4"/>
    </row>
    <row r="156" spans="2:16">
      <c r="B156" s="4"/>
      <c r="C156" s="12" t="str">
        <f>IF(B156="","-",VLOOKUP(B156,AgentSector!$B$3:$D$30,3,TRUE))</f>
        <v>-</v>
      </c>
      <c r="D156" s="16"/>
      <c r="E156" s="29"/>
      <c r="F156" s="21"/>
      <c r="G156" s="35"/>
      <c r="H156" s="25"/>
      <c r="I156" s="19"/>
      <c r="J156" s="18"/>
      <c r="K156" s="33"/>
      <c r="L156" s="23"/>
      <c r="M156" s="31"/>
      <c r="N156" s="27"/>
      <c r="O156" s="14" t="str">
        <f>IF(P156="","-",VLOOKUP(P156,AgentSector!$B$3:$D$30,3,TRUE))</f>
        <v>-</v>
      </c>
      <c r="P156" s="4"/>
    </row>
    <row r="157" spans="2:16">
      <c r="B157" s="4"/>
      <c r="C157" s="12" t="str">
        <f>IF(B157="","-",VLOOKUP(B157,AgentSector!$B$3:$D$30,3,TRUE))</f>
        <v>-</v>
      </c>
      <c r="D157" s="16"/>
      <c r="E157" s="29"/>
      <c r="F157" s="21"/>
      <c r="G157" s="35"/>
      <c r="H157" s="25"/>
      <c r="I157" s="19"/>
      <c r="J157" s="18"/>
      <c r="K157" s="33"/>
      <c r="L157" s="23"/>
      <c r="M157" s="31"/>
      <c r="N157" s="27"/>
      <c r="O157" s="14" t="str">
        <f>IF(P157="","-",VLOOKUP(P157,AgentSector!$B$3:$D$30,3,TRUE))</f>
        <v>-</v>
      </c>
      <c r="P157" s="4"/>
    </row>
    <row r="158" spans="2:16">
      <c r="B158" s="4"/>
      <c r="C158" s="12" t="str">
        <f>IF(B158="","-",VLOOKUP(B158,AgentSector!$B$3:$D$30,3,TRUE))</f>
        <v>-</v>
      </c>
      <c r="D158" s="16"/>
      <c r="E158" s="29"/>
      <c r="F158" s="21"/>
      <c r="G158" s="35"/>
      <c r="H158" s="25"/>
      <c r="I158" s="19"/>
      <c r="J158" s="18"/>
      <c r="K158" s="33"/>
      <c r="L158" s="23"/>
      <c r="M158" s="31"/>
      <c r="N158" s="27"/>
      <c r="O158" s="14" t="str">
        <f>IF(P158="","-",VLOOKUP(P158,AgentSector!$B$3:$D$30,3,TRUE))</f>
        <v>-</v>
      </c>
      <c r="P158" s="4"/>
    </row>
    <row r="159" spans="2:16">
      <c r="B159" s="4"/>
      <c r="C159" s="12" t="str">
        <f>IF(B159="","-",VLOOKUP(B159,AgentSector!$B$3:$D$30,3,TRUE))</f>
        <v>-</v>
      </c>
      <c r="D159" s="16"/>
      <c r="E159" s="29"/>
      <c r="F159" s="21"/>
      <c r="G159" s="35"/>
      <c r="H159" s="25"/>
      <c r="I159" s="19"/>
      <c r="J159" s="18"/>
      <c r="K159" s="33"/>
      <c r="L159" s="23"/>
      <c r="M159" s="31"/>
      <c r="N159" s="27"/>
      <c r="O159" s="14" t="str">
        <f>IF(P159="","-",VLOOKUP(P159,AgentSector!$B$3:$D$30,3,TRUE))</f>
        <v>-</v>
      </c>
      <c r="P159" s="4"/>
    </row>
    <row r="160" spans="2:16">
      <c r="B160" s="4"/>
      <c r="C160" s="12" t="str">
        <f>IF(B160="","-",VLOOKUP(B160,AgentSector!$B$3:$D$30,3,TRUE))</f>
        <v>-</v>
      </c>
      <c r="D160" s="16"/>
      <c r="E160" s="29"/>
      <c r="F160" s="21"/>
      <c r="G160" s="35"/>
      <c r="H160" s="25"/>
      <c r="I160" s="19"/>
      <c r="J160" s="18"/>
      <c r="K160" s="33"/>
      <c r="L160" s="23"/>
      <c r="M160" s="31"/>
      <c r="N160" s="27"/>
      <c r="O160" s="14" t="str">
        <f>IF(P160="","-",VLOOKUP(P160,AgentSector!$B$3:$D$30,3,TRUE))</f>
        <v>-</v>
      </c>
      <c r="P160" s="4"/>
    </row>
    <row r="161" spans="2:16">
      <c r="B161" s="4"/>
      <c r="C161" s="12" t="str">
        <f>IF(B161="","-",VLOOKUP(B161,AgentSector!$B$3:$D$30,3,TRUE))</f>
        <v>-</v>
      </c>
      <c r="D161" s="16"/>
      <c r="E161" s="29"/>
      <c r="F161" s="21"/>
      <c r="G161" s="35"/>
      <c r="H161" s="25"/>
      <c r="I161" s="19"/>
      <c r="J161" s="18"/>
      <c r="K161" s="33"/>
      <c r="L161" s="23"/>
      <c r="M161" s="31"/>
      <c r="N161" s="27"/>
      <c r="O161" s="14" t="str">
        <f>IF(P161="","-",VLOOKUP(P161,AgentSector!$B$3:$D$30,3,TRUE))</f>
        <v>-</v>
      </c>
      <c r="P161" s="4"/>
    </row>
    <row r="162" spans="2:16">
      <c r="B162" s="4"/>
      <c r="C162" s="12" t="str">
        <f>IF(B162="","-",VLOOKUP(B162,AgentSector!$B$3:$D$30,3,TRUE))</f>
        <v>-</v>
      </c>
      <c r="D162" s="16"/>
      <c r="E162" s="29"/>
      <c r="F162" s="21"/>
      <c r="G162" s="35"/>
      <c r="H162" s="25"/>
      <c r="I162" s="19"/>
      <c r="J162" s="18"/>
      <c r="K162" s="33"/>
      <c r="L162" s="23"/>
      <c r="M162" s="31"/>
      <c r="N162" s="27"/>
      <c r="O162" s="14" t="str">
        <f>IF(P162="","-",VLOOKUP(P162,AgentSector!$B$3:$D$30,3,TRUE))</f>
        <v>-</v>
      </c>
      <c r="P162" s="4"/>
    </row>
    <row r="163" spans="2:16">
      <c r="B163" s="4"/>
      <c r="C163" s="12" t="str">
        <f>IF(B163="","-",VLOOKUP(B163,AgentSector!$B$3:$D$30,3,TRUE))</f>
        <v>-</v>
      </c>
      <c r="D163" s="16"/>
      <c r="E163" s="29"/>
      <c r="F163" s="21"/>
      <c r="G163" s="35"/>
      <c r="H163" s="25"/>
      <c r="I163" s="19"/>
      <c r="J163" s="18"/>
      <c r="K163" s="33"/>
      <c r="L163" s="23"/>
      <c r="M163" s="31"/>
      <c r="N163" s="27"/>
      <c r="O163" s="14" t="str">
        <f>IF(P163="","-",VLOOKUP(P163,AgentSector!$B$3:$D$30,3,TRUE))</f>
        <v>-</v>
      </c>
      <c r="P163" s="4"/>
    </row>
    <row r="164" spans="2:16">
      <c r="B164" s="4"/>
      <c r="C164" s="12" t="str">
        <f>IF(B164="","-",VLOOKUP(B164,AgentSector!$B$3:$D$30,3,TRUE))</f>
        <v>-</v>
      </c>
      <c r="D164" s="16"/>
      <c r="E164" s="29"/>
      <c r="F164" s="21"/>
      <c r="G164" s="35"/>
      <c r="H164" s="25"/>
      <c r="I164" s="19"/>
      <c r="J164" s="18"/>
      <c r="K164" s="33"/>
      <c r="L164" s="23"/>
      <c r="M164" s="31"/>
      <c r="N164" s="27"/>
      <c r="O164" s="14" t="str">
        <f>IF(P164="","-",VLOOKUP(P164,AgentSector!$B$3:$D$30,3,TRUE))</f>
        <v>-</v>
      </c>
      <c r="P164" s="4"/>
    </row>
    <row r="165" spans="2:16">
      <c r="B165" s="4"/>
      <c r="C165" s="12" t="str">
        <f>IF(B165="","-",VLOOKUP(B165,AgentSector!$B$3:$D$30,3,TRUE))</f>
        <v>-</v>
      </c>
      <c r="D165" s="16"/>
      <c r="E165" s="29"/>
      <c r="F165" s="21"/>
      <c r="G165" s="35"/>
      <c r="H165" s="25"/>
      <c r="I165" s="19"/>
      <c r="J165" s="18"/>
      <c r="K165" s="33"/>
      <c r="L165" s="23"/>
      <c r="M165" s="31"/>
      <c r="N165" s="27"/>
      <c r="O165" s="14" t="str">
        <f>IF(P165="","-",VLOOKUP(P165,AgentSector!$B$3:$D$30,3,TRUE))</f>
        <v>-</v>
      </c>
      <c r="P165" s="4"/>
    </row>
    <row r="166" spans="2:16">
      <c r="B166" s="4"/>
      <c r="C166" s="12" t="str">
        <f>IF(B166="","-",VLOOKUP(B166,AgentSector!$B$3:$D$30,3,TRUE))</f>
        <v>-</v>
      </c>
      <c r="D166" s="16"/>
      <c r="E166" s="29"/>
      <c r="F166" s="21"/>
      <c r="G166" s="35"/>
      <c r="H166" s="25"/>
      <c r="I166" s="19"/>
      <c r="J166" s="18"/>
      <c r="K166" s="33"/>
      <c r="L166" s="23"/>
      <c r="M166" s="31"/>
      <c r="N166" s="27"/>
      <c r="O166" s="14" t="str">
        <f>IF(P166="","-",VLOOKUP(P166,AgentSector!$B$3:$D$30,3,TRUE))</f>
        <v>-</v>
      </c>
      <c r="P166" s="4"/>
    </row>
    <row r="167" spans="2:16">
      <c r="B167" s="4"/>
      <c r="C167" s="12" t="str">
        <f>IF(B167="","-",VLOOKUP(B167,AgentSector!$B$3:$D$30,3,TRUE))</f>
        <v>-</v>
      </c>
      <c r="D167" s="16"/>
      <c r="E167" s="29"/>
      <c r="F167" s="21"/>
      <c r="G167" s="35"/>
      <c r="H167" s="25"/>
      <c r="I167" s="19"/>
      <c r="J167" s="18"/>
      <c r="K167" s="33"/>
      <c r="L167" s="23"/>
      <c r="M167" s="31"/>
      <c r="N167" s="27"/>
      <c r="O167" s="14" t="str">
        <f>IF(P167="","-",VLOOKUP(P167,AgentSector!$B$3:$D$30,3,TRUE))</f>
        <v>-</v>
      </c>
      <c r="P167" s="4"/>
    </row>
    <row r="168" spans="2:16">
      <c r="B168" s="4"/>
      <c r="C168" s="12" t="str">
        <f>IF(B168="","-",VLOOKUP(B168,AgentSector!$B$3:$D$30,3,TRUE))</f>
        <v>-</v>
      </c>
      <c r="D168" s="16"/>
      <c r="E168" s="29"/>
      <c r="F168" s="21"/>
      <c r="G168" s="35"/>
      <c r="H168" s="25"/>
      <c r="I168" s="19"/>
      <c r="J168" s="18"/>
      <c r="K168" s="33"/>
      <c r="L168" s="23"/>
      <c r="M168" s="31"/>
      <c r="N168" s="27"/>
      <c r="O168" s="14" t="str">
        <f>IF(P168="","-",VLOOKUP(P168,AgentSector!$B$3:$D$30,3,TRUE))</f>
        <v>-</v>
      </c>
      <c r="P168" s="4"/>
    </row>
    <row r="169" spans="2:16">
      <c r="B169" s="4"/>
      <c r="C169" s="12" t="str">
        <f>IF(B169="","-",VLOOKUP(B169,AgentSector!$B$3:$D$30,3,TRUE))</f>
        <v>-</v>
      </c>
      <c r="D169" s="16"/>
      <c r="E169" s="29"/>
      <c r="F169" s="21"/>
      <c r="G169" s="35"/>
      <c r="H169" s="25"/>
      <c r="I169" s="19"/>
      <c r="J169" s="18"/>
      <c r="K169" s="33"/>
      <c r="L169" s="23"/>
      <c r="M169" s="31"/>
      <c r="N169" s="27"/>
      <c r="O169" s="14" t="str">
        <f>IF(P169="","-",VLOOKUP(P169,AgentSector!$B$3:$D$30,3,TRUE))</f>
        <v>-</v>
      </c>
      <c r="P169" s="4"/>
    </row>
    <row r="170" spans="2:16">
      <c r="B170" s="4"/>
      <c r="C170" s="12" t="str">
        <f>IF(B170="","-",VLOOKUP(B170,AgentSector!$B$3:$D$30,3,TRUE))</f>
        <v>-</v>
      </c>
      <c r="D170" s="16"/>
      <c r="E170" s="29"/>
      <c r="F170" s="21"/>
      <c r="G170" s="35"/>
      <c r="H170" s="25"/>
      <c r="I170" s="19"/>
      <c r="J170" s="18"/>
      <c r="K170" s="33"/>
      <c r="L170" s="23"/>
      <c r="M170" s="31"/>
      <c r="N170" s="27"/>
      <c r="O170" s="14" t="str">
        <f>IF(P170="","-",VLOOKUP(P170,AgentSector!$B$3:$D$30,3,TRUE))</f>
        <v>-</v>
      </c>
      <c r="P170" s="4"/>
    </row>
    <row r="171" spans="2:16">
      <c r="B171" s="4"/>
      <c r="C171" s="12" t="str">
        <f>IF(B171="","-",VLOOKUP(B171,AgentSector!$B$3:$D$30,3,TRUE))</f>
        <v>-</v>
      </c>
      <c r="D171" s="16"/>
      <c r="E171" s="29"/>
      <c r="F171" s="21"/>
      <c r="G171" s="35"/>
      <c r="H171" s="25"/>
      <c r="I171" s="19"/>
      <c r="J171" s="18"/>
      <c r="K171" s="33"/>
      <c r="L171" s="23"/>
      <c r="M171" s="31"/>
      <c r="N171" s="27"/>
      <c r="O171" s="14" t="str">
        <f>IF(P171="","-",VLOOKUP(P171,AgentSector!$B$3:$D$30,3,TRUE))</f>
        <v>-</v>
      </c>
      <c r="P171" s="4"/>
    </row>
    <row r="172" spans="2:16">
      <c r="B172" s="4"/>
      <c r="C172" s="12" t="str">
        <f>IF(B172="","-",VLOOKUP(B172,AgentSector!$B$3:$D$30,3,TRUE))</f>
        <v>-</v>
      </c>
      <c r="D172" s="16"/>
      <c r="E172" s="29"/>
      <c r="F172" s="21"/>
      <c r="G172" s="35"/>
      <c r="H172" s="25"/>
      <c r="I172" s="19"/>
      <c r="J172" s="18"/>
      <c r="K172" s="33"/>
      <c r="L172" s="23"/>
      <c r="M172" s="31"/>
      <c r="N172" s="27"/>
      <c r="O172" s="14" t="str">
        <f>IF(P172="","-",VLOOKUP(P172,AgentSector!$B$3:$D$30,3,TRUE))</f>
        <v>-</v>
      </c>
      <c r="P172" s="4"/>
    </row>
    <row r="173" spans="2:16">
      <c r="B173" s="4"/>
      <c r="C173" s="12" t="str">
        <f>IF(B173="","-",VLOOKUP(B173,AgentSector!$B$3:$D$30,3,TRUE))</f>
        <v>-</v>
      </c>
      <c r="D173" s="16"/>
      <c r="E173" s="29"/>
      <c r="F173" s="21"/>
      <c r="G173" s="35"/>
      <c r="H173" s="25"/>
      <c r="I173" s="19"/>
      <c r="J173" s="18"/>
      <c r="K173" s="33"/>
      <c r="L173" s="23"/>
      <c r="M173" s="31"/>
      <c r="N173" s="27"/>
      <c r="O173" s="14" t="str">
        <f>IF(P173="","-",VLOOKUP(P173,AgentSector!$B$3:$D$30,3,TRUE))</f>
        <v>-</v>
      </c>
      <c r="P173" s="4"/>
    </row>
    <row r="174" spans="2:16">
      <c r="B174" s="4"/>
      <c r="C174" s="12" t="str">
        <f>IF(B174="","-",VLOOKUP(B174,AgentSector!$B$3:$D$30,3,TRUE))</f>
        <v>-</v>
      </c>
      <c r="D174" s="16"/>
      <c r="E174" s="29"/>
      <c r="F174" s="21"/>
      <c r="G174" s="35"/>
      <c r="H174" s="25"/>
      <c r="I174" s="19"/>
      <c r="J174" s="18"/>
      <c r="K174" s="33"/>
      <c r="L174" s="23"/>
      <c r="M174" s="31"/>
      <c r="N174" s="27"/>
      <c r="O174" s="14" t="str">
        <f>IF(P174="","-",VLOOKUP(P174,AgentSector!$B$3:$D$30,3,TRUE))</f>
        <v>-</v>
      </c>
      <c r="P174" s="4"/>
    </row>
    <row r="175" spans="2:16">
      <c r="B175" s="4"/>
      <c r="C175" s="12" t="str">
        <f>IF(B175="","-",VLOOKUP(B175,AgentSector!$B$3:$D$30,3,TRUE))</f>
        <v>-</v>
      </c>
      <c r="D175" s="16"/>
      <c r="E175" s="29"/>
      <c r="F175" s="21"/>
      <c r="G175" s="35"/>
      <c r="H175" s="25"/>
      <c r="I175" s="19"/>
      <c r="J175" s="18"/>
      <c r="K175" s="33"/>
      <c r="L175" s="23"/>
      <c r="M175" s="31"/>
      <c r="N175" s="27"/>
      <c r="O175" s="14" t="str">
        <f>IF(P175="","-",VLOOKUP(P175,AgentSector!$B$3:$D$30,3,TRUE))</f>
        <v>-</v>
      </c>
      <c r="P175" s="4"/>
    </row>
    <row r="176" spans="2:16">
      <c r="B176" s="4"/>
      <c r="C176" s="12" t="str">
        <f>IF(B176="","-",VLOOKUP(B176,AgentSector!$B$3:$D$30,3,TRUE))</f>
        <v>-</v>
      </c>
      <c r="D176" s="16"/>
      <c r="E176" s="29"/>
      <c r="F176" s="21"/>
      <c r="G176" s="35"/>
      <c r="H176" s="25"/>
      <c r="I176" s="19"/>
      <c r="J176" s="18"/>
      <c r="K176" s="33"/>
      <c r="L176" s="23"/>
      <c r="M176" s="31"/>
      <c r="N176" s="27"/>
      <c r="O176" s="14" t="str">
        <f>IF(P176="","-",VLOOKUP(P176,AgentSector!$B$3:$D$30,3,TRUE))</f>
        <v>-</v>
      </c>
      <c r="P176" s="4"/>
    </row>
    <row r="177" spans="2:16">
      <c r="B177" s="4"/>
      <c r="C177" s="12" t="str">
        <f>IF(B177="","-",VLOOKUP(B177,AgentSector!$B$3:$D$30,3,TRUE))</f>
        <v>-</v>
      </c>
      <c r="D177" s="16"/>
      <c r="E177" s="29"/>
      <c r="F177" s="21"/>
      <c r="G177" s="35"/>
      <c r="H177" s="25"/>
      <c r="I177" s="19"/>
      <c r="J177" s="18"/>
      <c r="K177" s="33"/>
      <c r="L177" s="23"/>
      <c r="M177" s="31"/>
      <c r="N177" s="27"/>
      <c r="O177" s="14" t="str">
        <f>IF(P177="","-",VLOOKUP(P177,AgentSector!$B$3:$D$30,3,TRUE))</f>
        <v>-</v>
      </c>
      <c r="P177" s="4"/>
    </row>
    <row r="178" spans="2:16">
      <c r="B178" s="4"/>
      <c r="C178" s="12" t="str">
        <f>IF(B178="","-",VLOOKUP(B178,AgentSector!$B$3:$D$30,3,TRUE))</f>
        <v>-</v>
      </c>
      <c r="D178" s="16"/>
      <c r="E178" s="29"/>
      <c r="F178" s="21"/>
      <c r="G178" s="35"/>
      <c r="H178" s="25"/>
      <c r="I178" s="19"/>
      <c r="J178" s="18"/>
      <c r="K178" s="33"/>
      <c r="L178" s="23"/>
      <c r="M178" s="31"/>
      <c r="N178" s="27"/>
      <c r="O178" s="14" t="str">
        <f>IF(P178="","-",VLOOKUP(P178,AgentSector!$B$3:$D$30,3,TRUE))</f>
        <v>-</v>
      </c>
      <c r="P178" s="4"/>
    </row>
    <row r="179" spans="2:16">
      <c r="B179" s="4"/>
      <c r="C179" s="12" t="str">
        <f>IF(B179="","-",VLOOKUP(B179,AgentSector!$B$3:$D$30,3,TRUE))</f>
        <v>-</v>
      </c>
      <c r="D179" s="16"/>
      <c r="E179" s="29"/>
      <c r="F179" s="21"/>
      <c r="G179" s="35"/>
      <c r="H179" s="25"/>
      <c r="I179" s="19"/>
      <c r="J179" s="18"/>
      <c r="K179" s="33"/>
      <c r="L179" s="23"/>
      <c r="M179" s="31"/>
      <c r="N179" s="27"/>
      <c r="O179" s="14" t="str">
        <f>IF(P179="","-",VLOOKUP(P179,AgentSector!$B$3:$D$30,3,TRUE))</f>
        <v>-</v>
      </c>
      <c r="P179" s="4"/>
    </row>
    <row r="180" spans="2:16">
      <c r="B180" s="4"/>
      <c r="C180" s="12" t="str">
        <f>IF(B180="","-",VLOOKUP(B180,AgentSector!$B$3:$D$30,3,TRUE))</f>
        <v>-</v>
      </c>
      <c r="D180" s="16"/>
      <c r="E180" s="29"/>
      <c r="F180" s="21"/>
      <c r="G180" s="35"/>
      <c r="H180" s="25"/>
      <c r="I180" s="19"/>
      <c r="J180" s="18"/>
      <c r="K180" s="33"/>
      <c r="L180" s="23"/>
      <c r="M180" s="31"/>
      <c r="N180" s="27"/>
      <c r="O180" s="14" t="str">
        <f>IF(P180="","-",VLOOKUP(P180,AgentSector!$B$3:$D$30,3,TRUE))</f>
        <v>-</v>
      </c>
      <c r="P180" s="4"/>
    </row>
    <row r="181" spans="2:16">
      <c r="B181" s="4"/>
      <c r="C181" s="12" t="str">
        <f>IF(B181="","-",VLOOKUP(B181,AgentSector!$B$3:$D$30,3,TRUE))</f>
        <v>-</v>
      </c>
      <c r="D181" s="16"/>
      <c r="E181" s="29"/>
      <c r="F181" s="21"/>
      <c r="G181" s="35"/>
      <c r="H181" s="25"/>
      <c r="I181" s="19"/>
      <c r="J181" s="18"/>
      <c r="K181" s="33"/>
      <c r="L181" s="23"/>
      <c r="M181" s="31"/>
      <c r="N181" s="27"/>
      <c r="O181" s="14" t="str">
        <f>IF(P181="","-",VLOOKUP(P181,AgentSector!$B$3:$D$30,3,TRUE))</f>
        <v>-</v>
      </c>
      <c r="P181" s="4"/>
    </row>
    <row r="182" spans="2:16">
      <c r="B182" s="4"/>
      <c r="C182" s="12" t="str">
        <f>IF(B182="","-",VLOOKUP(B182,AgentSector!$B$3:$D$30,3,TRUE))</f>
        <v>-</v>
      </c>
      <c r="D182" s="16"/>
      <c r="E182" s="29"/>
      <c r="F182" s="21"/>
      <c r="G182" s="35"/>
      <c r="H182" s="25"/>
      <c r="I182" s="19"/>
      <c r="J182" s="18"/>
      <c r="K182" s="33"/>
      <c r="L182" s="23"/>
      <c r="M182" s="31"/>
      <c r="N182" s="27"/>
      <c r="O182" s="14" t="str">
        <f>IF(P182="","-",VLOOKUP(P182,AgentSector!$B$3:$D$30,3,TRUE))</f>
        <v>-</v>
      </c>
      <c r="P182" s="4"/>
    </row>
    <row r="183" spans="2:16">
      <c r="B183" s="4"/>
      <c r="C183" s="12" t="str">
        <f>IF(B183="","-",VLOOKUP(B183,AgentSector!$B$3:$D$30,3,TRUE))</f>
        <v>-</v>
      </c>
      <c r="D183" s="16"/>
      <c r="E183" s="29"/>
      <c r="F183" s="21"/>
      <c r="G183" s="35"/>
      <c r="H183" s="25"/>
      <c r="I183" s="19"/>
      <c r="J183" s="18"/>
      <c r="K183" s="33"/>
      <c r="L183" s="23"/>
      <c r="M183" s="31"/>
      <c r="N183" s="27"/>
      <c r="O183" s="14" t="str">
        <f>IF(P183="","-",VLOOKUP(P183,AgentSector!$B$3:$D$30,3,TRUE))</f>
        <v>-</v>
      </c>
      <c r="P183" s="4"/>
    </row>
    <row r="184" spans="2:16">
      <c r="B184" s="4"/>
      <c r="C184" s="12" t="str">
        <f>IF(B184="","-",VLOOKUP(B184,AgentSector!$B$3:$D$30,3,TRUE))</f>
        <v>-</v>
      </c>
      <c r="D184" s="16"/>
      <c r="E184" s="29"/>
      <c r="F184" s="21"/>
      <c r="G184" s="35"/>
      <c r="H184" s="25"/>
      <c r="I184" s="19"/>
      <c r="J184" s="18"/>
      <c r="K184" s="33"/>
      <c r="L184" s="23"/>
      <c r="M184" s="31"/>
      <c r="N184" s="27"/>
      <c r="O184" s="14" t="str">
        <f>IF(P184="","-",VLOOKUP(P184,AgentSector!$B$3:$D$30,3,TRUE))</f>
        <v>-</v>
      </c>
      <c r="P184" s="4"/>
    </row>
    <row r="185" spans="2:16">
      <c r="B185" s="4"/>
      <c r="C185" s="12" t="str">
        <f>IF(B185="","-",VLOOKUP(B185,AgentSector!$B$3:$D$30,3,TRUE))</f>
        <v>-</v>
      </c>
      <c r="D185" s="16"/>
      <c r="E185" s="29"/>
      <c r="F185" s="21"/>
      <c r="G185" s="35"/>
      <c r="H185" s="25"/>
      <c r="I185" s="19"/>
      <c r="J185" s="18"/>
      <c r="K185" s="33"/>
      <c r="L185" s="23"/>
      <c r="M185" s="31"/>
      <c r="N185" s="27"/>
      <c r="O185" s="14" t="str">
        <f>IF(P185="","-",VLOOKUP(P185,AgentSector!$B$3:$D$30,3,TRUE))</f>
        <v>-</v>
      </c>
      <c r="P185" s="4"/>
    </row>
    <row r="186" spans="2:16">
      <c r="B186" s="4"/>
      <c r="C186" s="12" t="str">
        <f>IF(B186="","-",VLOOKUP(B186,AgentSector!$B$3:$D$30,3,TRUE))</f>
        <v>-</v>
      </c>
      <c r="D186" s="16"/>
      <c r="E186" s="29"/>
      <c r="F186" s="21"/>
      <c r="G186" s="35"/>
      <c r="H186" s="25"/>
      <c r="I186" s="19"/>
      <c r="J186" s="18"/>
      <c r="K186" s="33"/>
      <c r="L186" s="23"/>
      <c r="M186" s="31"/>
      <c r="N186" s="27"/>
      <c r="O186" s="14" t="str">
        <f>IF(P186="","-",VLOOKUP(P186,AgentSector!$B$3:$D$30,3,TRUE))</f>
        <v>-</v>
      </c>
      <c r="P186" s="4"/>
    </row>
    <row r="187" spans="2:16">
      <c r="B187" s="4"/>
      <c r="C187" s="12" t="str">
        <f>IF(B187="","-",VLOOKUP(B187,AgentSector!$B$3:$D$30,3,TRUE))</f>
        <v>-</v>
      </c>
      <c r="D187" s="16"/>
      <c r="E187" s="29"/>
      <c r="F187" s="21"/>
      <c r="G187" s="35"/>
      <c r="H187" s="25"/>
      <c r="I187" s="19"/>
      <c r="J187" s="18"/>
      <c r="K187" s="33"/>
      <c r="L187" s="23"/>
      <c r="M187" s="31"/>
      <c r="N187" s="27"/>
      <c r="O187" s="14" t="str">
        <f>IF(P187="","-",VLOOKUP(P187,AgentSector!$B$3:$D$30,3,TRUE))</f>
        <v>-</v>
      </c>
      <c r="P187" s="4"/>
    </row>
    <row r="188" spans="2:16">
      <c r="B188" s="4"/>
      <c r="C188" s="12" t="str">
        <f>IF(B188="","-",VLOOKUP(B188,AgentSector!$B$3:$D$30,3,TRUE))</f>
        <v>-</v>
      </c>
      <c r="D188" s="16"/>
      <c r="E188" s="29"/>
      <c r="F188" s="21"/>
      <c r="G188" s="35"/>
      <c r="H188" s="25"/>
      <c r="I188" s="19"/>
      <c r="J188" s="18"/>
      <c r="K188" s="33"/>
      <c r="L188" s="23"/>
      <c r="M188" s="31"/>
      <c r="N188" s="27"/>
      <c r="O188" s="14" t="str">
        <f>IF(P188="","-",VLOOKUP(P188,AgentSector!$B$3:$D$30,3,TRUE))</f>
        <v>-</v>
      </c>
      <c r="P188" s="4"/>
    </row>
    <row r="189" spans="2:16">
      <c r="B189" s="4"/>
      <c r="C189" s="12" t="str">
        <f>IF(B189="","-",VLOOKUP(B189,AgentSector!$B$3:$D$30,3,TRUE))</f>
        <v>-</v>
      </c>
      <c r="D189" s="16"/>
      <c r="E189" s="29"/>
      <c r="F189" s="21"/>
      <c r="G189" s="35"/>
      <c r="H189" s="25"/>
      <c r="I189" s="19"/>
      <c r="J189" s="18"/>
      <c r="K189" s="33"/>
      <c r="L189" s="23"/>
      <c r="M189" s="31"/>
      <c r="N189" s="27"/>
      <c r="O189" s="14" t="str">
        <f>IF(P189="","-",VLOOKUP(P189,AgentSector!$B$3:$D$30,3,TRUE))</f>
        <v>-</v>
      </c>
      <c r="P189" s="4"/>
    </row>
    <row r="190" spans="2:16">
      <c r="B190" s="4"/>
      <c r="C190" s="12" t="str">
        <f>IF(B190="","-",VLOOKUP(B190,AgentSector!$B$3:$D$30,3,TRUE))</f>
        <v>-</v>
      </c>
      <c r="D190" s="16"/>
      <c r="E190" s="29"/>
      <c r="F190" s="21"/>
      <c r="G190" s="35"/>
      <c r="H190" s="25"/>
      <c r="I190" s="19"/>
      <c r="J190" s="18"/>
      <c r="K190" s="33"/>
      <c r="L190" s="23"/>
      <c r="M190" s="31"/>
      <c r="N190" s="27"/>
      <c r="O190" s="14" t="str">
        <f>IF(P190="","-",VLOOKUP(P190,AgentSector!$B$3:$D$30,3,TRUE))</f>
        <v>-</v>
      </c>
      <c r="P190" s="4"/>
    </row>
    <row r="191" spans="2:16">
      <c r="B191" s="4"/>
      <c r="C191" s="12" t="str">
        <f>IF(B191="","-",VLOOKUP(B191,AgentSector!$B$3:$D$30,3,TRUE))</f>
        <v>-</v>
      </c>
      <c r="D191" s="16"/>
      <c r="E191" s="29"/>
      <c r="F191" s="21"/>
      <c r="G191" s="35"/>
      <c r="H191" s="25"/>
      <c r="I191" s="19"/>
      <c r="J191" s="18"/>
      <c r="K191" s="33"/>
      <c r="L191" s="23"/>
      <c r="M191" s="31"/>
      <c r="N191" s="27"/>
      <c r="O191" s="14" t="str">
        <f>IF(P191="","-",VLOOKUP(P191,AgentSector!$B$3:$D$30,3,TRUE))</f>
        <v>-</v>
      </c>
      <c r="P191" s="4"/>
    </row>
    <row r="192" spans="2:16">
      <c r="B192" s="4"/>
      <c r="C192" s="12" t="str">
        <f>IF(B192="","-",VLOOKUP(B192,AgentSector!$B$3:$D$30,3,TRUE))</f>
        <v>-</v>
      </c>
      <c r="D192" s="16"/>
      <c r="E192" s="29"/>
      <c r="F192" s="21"/>
      <c r="G192" s="35"/>
      <c r="H192" s="25"/>
      <c r="I192" s="19"/>
      <c r="J192" s="18"/>
      <c r="K192" s="33"/>
      <c r="L192" s="23"/>
      <c r="M192" s="31"/>
      <c r="N192" s="27"/>
      <c r="O192" s="14" t="str">
        <f>IF(P192="","-",VLOOKUP(P192,AgentSector!$B$3:$D$30,3,TRUE))</f>
        <v>-</v>
      </c>
      <c r="P192" s="4"/>
    </row>
    <row r="193" spans="2:16">
      <c r="B193" s="4"/>
      <c r="C193" s="12" t="str">
        <f>IF(B193="","-",VLOOKUP(B193,AgentSector!$B$3:$D$30,3,TRUE))</f>
        <v>-</v>
      </c>
      <c r="D193" s="16"/>
      <c r="E193" s="29"/>
      <c r="F193" s="21"/>
      <c r="G193" s="35"/>
      <c r="H193" s="25"/>
      <c r="I193" s="19"/>
      <c r="J193" s="18"/>
      <c r="K193" s="33"/>
      <c r="L193" s="23"/>
      <c r="M193" s="31"/>
      <c r="N193" s="27"/>
      <c r="O193" s="14" t="str">
        <f>IF(P193="","-",VLOOKUP(P193,AgentSector!$B$3:$D$30,3,TRUE))</f>
        <v>-</v>
      </c>
      <c r="P193" s="4"/>
    </row>
    <row r="194" spans="2:16">
      <c r="B194" s="4"/>
      <c r="C194" s="12" t="str">
        <f>IF(B194="","-",VLOOKUP(B194,AgentSector!$B$3:$D$30,3,TRUE))</f>
        <v>-</v>
      </c>
      <c r="D194" s="16"/>
      <c r="E194" s="29"/>
      <c r="F194" s="21"/>
      <c r="G194" s="35"/>
      <c r="H194" s="25"/>
      <c r="I194" s="19"/>
      <c r="J194" s="18"/>
      <c r="K194" s="33"/>
      <c r="L194" s="23"/>
      <c r="M194" s="31"/>
      <c r="N194" s="27"/>
      <c r="O194" s="14" t="str">
        <f>IF(P194="","-",VLOOKUP(P194,AgentSector!$B$3:$D$30,3,TRUE))</f>
        <v>-</v>
      </c>
      <c r="P194" s="4"/>
    </row>
    <row r="195" spans="2:16">
      <c r="B195" s="4"/>
      <c r="C195" s="12" t="str">
        <f>IF(B195="","-",VLOOKUP(B195,AgentSector!$B$3:$D$30,3,TRUE))</f>
        <v>-</v>
      </c>
      <c r="D195" s="16"/>
      <c r="E195" s="29"/>
      <c r="F195" s="21"/>
      <c r="G195" s="35"/>
      <c r="H195" s="25"/>
      <c r="I195" s="19"/>
      <c r="J195" s="18"/>
      <c r="K195" s="33"/>
      <c r="L195" s="23"/>
      <c r="M195" s="31"/>
      <c r="N195" s="27"/>
      <c r="O195" s="14" t="str">
        <f>IF(P195="","-",VLOOKUP(P195,AgentSector!$B$3:$D$30,3,TRUE))</f>
        <v>-</v>
      </c>
      <c r="P195" s="4"/>
    </row>
    <row r="196" spans="2:16">
      <c r="B196" s="4"/>
      <c r="C196" s="12" t="str">
        <f>IF(B196="","-",VLOOKUP(B196,AgentSector!$B$3:$D$30,3,TRUE))</f>
        <v>-</v>
      </c>
      <c r="D196" s="16"/>
      <c r="E196" s="29"/>
      <c r="F196" s="21"/>
      <c r="G196" s="35"/>
      <c r="H196" s="25"/>
      <c r="I196" s="19"/>
      <c r="J196" s="18"/>
      <c r="K196" s="33"/>
      <c r="L196" s="23"/>
      <c r="M196" s="31"/>
      <c r="N196" s="27"/>
      <c r="O196" s="14" t="str">
        <f>IF(P196="","-",VLOOKUP(P196,AgentSector!$B$3:$D$30,3,TRUE))</f>
        <v>-</v>
      </c>
      <c r="P196" s="4"/>
    </row>
    <row r="197" spans="2:16">
      <c r="B197" s="4"/>
      <c r="C197" s="12" t="str">
        <f>IF(B197="","-",VLOOKUP(B197,AgentSector!$B$3:$D$30,3,TRUE))</f>
        <v>-</v>
      </c>
      <c r="D197" s="16"/>
      <c r="E197" s="29"/>
      <c r="F197" s="21"/>
      <c r="G197" s="35"/>
      <c r="H197" s="25"/>
      <c r="I197" s="19"/>
      <c r="J197" s="18"/>
      <c r="K197" s="33"/>
      <c r="L197" s="23"/>
      <c r="M197" s="31"/>
      <c r="N197" s="27"/>
      <c r="O197" s="14" t="str">
        <f>IF(P197="","-",VLOOKUP(P197,AgentSector!$B$3:$D$30,3,TRUE))</f>
        <v>-</v>
      </c>
      <c r="P197" s="4"/>
    </row>
    <row r="198" spans="2:16">
      <c r="B198" s="4"/>
      <c r="C198" s="12" t="str">
        <f>IF(B198="","-",VLOOKUP(B198,AgentSector!$B$3:$D$30,3,TRUE))</f>
        <v>-</v>
      </c>
      <c r="D198" s="16"/>
      <c r="E198" s="29"/>
      <c r="F198" s="21"/>
      <c r="G198" s="35"/>
      <c r="H198" s="25"/>
      <c r="I198" s="19"/>
      <c r="J198" s="18"/>
      <c r="K198" s="33"/>
      <c r="L198" s="23"/>
      <c r="M198" s="31"/>
      <c r="N198" s="27"/>
      <c r="O198" s="14" t="str">
        <f>IF(P198="","-",VLOOKUP(P198,AgentSector!$B$3:$D$30,3,TRUE))</f>
        <v>-</v>
      </c>
      <c r="P198" s="4"/>
    </row>
    <row r="199" spans="2:16">
      <c r="B199" s="4"/>
      <c r="C199" s="12" t="str">
        <f>IF(B199="","-",VLOOKUP(B199,AgentSector!$B$3:$D$30,3,TRUE))</f>
        <v>-</v>
      </c>
      <c r="D199" s="16"/>
      <c r="E199" s="29"/>
      <c r="F199" s="21"/>
      <c r="G199" s="35"/>
      <c r="H199" s="25"/>
      <c r="I199" s="19"/>
      <c r="J199" s="18"/>
      <c r="K199" s="33"/>
      <c r="L199" s="23"/>
      <c r="M199" s="31"/>
      <c r="N199" s="27"/>
      <c r="O199" s="14" t="str">
        <f>IF(P199="","-",VLOOKUP(P199,AgentSector!$B$3:$D$30,3,TRUE))</f>
        <v>-</v>
      </c>
      <c r="P199" s="4"/>
    </row>
    <row r="200" spans="2:16">
      <c r="B200" s="4"/>
      <c r="C200" s="12" t="str">
        <f>IF(B200="","-",VLOOKUP(B200,AgentSector!$B$3:$D$30,3,TRUE))</f>
        <v>-</v>
      </c>
      <c r="D200" s="16"/>
      <c r="E200" s="29"/>
      <c r="F200" s="21"/>
      <c r="G200" s="35"/>
      <c r="H200" s="25"/>
      <c r="I200" s="19"/>
      <c r="J200" s="18"/>
      <c r="K200" s="33"/>
      <c r="L200" s="23"/>
      <c r="M200" s="31"/>
      <c r="N200" s="27"/>
      <c r="O200" s="14" t="str">
        <f>IF(P200="","-",VLOOKUP(P200,AgentSector!$B$3:$D$30,3,TRUE))</f>
        <v>-</v>
      </c>
      <c r="P200" s="4"/>
    </row>
    <row r="201" spans="2:16">
      <c r="B201" s="4"/>
      <c r="C201" s="12" t="str">
        <f>IF(B201="","-",VLOOKUP(B201,AgentSector!$B$3:$D$30,3,TRUE))</f>
        <v>-</v>
      </c>
      <c r="D201" s="16"/>
      <c r="E201" s="29"/>
      <c r="F201" s="21"/>
      <c r="G201" s="35"/>
      <c r="H201" s="25"/>
      <c r="I201" s="19"/>
      <c r="J201" s="18"/>
      <c r="K201" s="33"/>
      <c r="L201" s="23"/>
      <c r="M201" s="31"/>
      <c r="N201" s="27"/>
      <c r="O201" s="14" t="str">
        <f>IF(P201="","-",VLOOKUP(P201,AgentSector!$B$3:$D$30,3,TRUE))</f>
        <v>-</v>
      </c>
      <c r="P201" s="4"/>
    </row>
    <row r="202" spans="2:16">
      <c r="B202" s="4"/>
      <c r="C202" s="12" t="str">
        <f>IF(B202="","-",VLOOKUP(B202,AgentSector!$B$3:$D$30,3,TRUE))</f>
        <v>-</v>
      </c>
      <c r="D202" s="16"/>
      <c r="E202" s="29"/>
      <c r="F202" s="21"/>
      <c r="G202" s="35"/>
      <c r="H202" s="25"/>
      <c r="I202" s="19"/>
      <c r="J202" s="18"/>
      <c r="K202" s="33"/>
      <c r="L202" s="23"/>
      <c r="M202" s="31"/>
      <c r="N202" s="27"/>
      <c r="O202" s="14" t="str">
        <f>IF(P202="","-",VLOOKUP(P202,AgentSector!$B$3:$D$30,3,TRUE))</f>
        <v>-</v>
      </c>
      <c r="P202" s="4"/>
    </row>
    <row r="203" spans="2:16">
      <c r="B203" s="4"/>
      <c r="C203" s="12" t="str">
        <f>IF(B203="","-",VLOOKUP(B203,AgentSector!$B$3:$D$30,3,TRUE))</f>
        <v>-</v>
      </c>
      <c r="D203" s="16"/>
      <c r="E203" s="29"/>
      <c r="F203" s="21"/>
      <c r="G203" s="35"/>
      <c r="H203" s="25"/>
      <c r="I203" s="19"/>
      <c r="J203" s="18"/>
      <c r="K203" s="33"/>
      <c r="L203" s="23"/>
      <c r="M203" s="31"/>
      <c r="N203" s="27"/>
      <c r="O203" s="14" t="str">
        <f>IF(P203="","-",VLOOKUP(P203,AgentSector!$B$3:$D$30,3,TRUE))</f>
        <v>-</v>
      </c>
      <c r="P203" s="4"/>
    </row>
    <row r="204" spans="2:16">
      <c r="B204" s="4"/>
      <c r="C204" s="12" t="str">
        <f>IF(B204="","-",VLOOKUP(B204,AgentSector!$B$3:$D$30,3,TRUE))</f>
        <v>-</v>
      </c>
      <c r="D204" s="16"/>
      <c r="E204" s="29"/>
      <c r="F204" s="21"/>
      <c r="G204" s="35"/>
      <c r="H204" s="25"/>
      <c r="I204" s="19"/>
      <c r="J204" s="18"/>
      <c r="K204" s="33"/>
      <c r="L204" s="23"/>
      <c r="M204" s="31"/>
      <c r="N204" s="27"/>
      <c r="O204" s="14" t="str">
        <f>IF(P204="","-",VLOOKUP(P204,AgentSector!$B$3:$D$30,3,TRUE))</f>
        <v>-</v>
      </c>
      <c r="P204" s="4"/>
    </row>
    <row r="205" spans="2:16">
      <c r="B205" s="4"/>
      <c r="C205" s="12" t="str">
        <f>IF(B205="","-",VLOOKUP(B205,AgentSector!$B$3:$D$30,3,TRUE))</f>
        <v>-</v>
      </c>
      <c r="D205" s="16"/>
      <c r="E205" s="29"/>
      <c r="F205" s="21"/>
      <c r="G205" s="35"/>
      <c r="H205" s="25"/>
      <c r="I205" s="19"/>
      <c r="J205" s="18"/>
      <c r="K205" s="33"/>
      <c r="L205" s="23"/>
      <c r="M205" s="31"/>
      <c r="N205" s="27"/>
      <c r="O205" s="14" t="str">
        <f>IF(P205="","-",VLOOKUP(P205,AgentSector!$B$3:$D$30,3,TRUE))</f>
        <v>-</v>
      </c>
      <c r="P205" s="4"/>
    </row>
    <row r="206" spans="2:16">
      <c r="B206" s="4"/>
      <c r="C206" s="12" t="str">
        <f>IF(B206="","-",VLOOKUP(B206,AgentSector!$B$3:$D$30,3,TRUE))</f>
        <v>-</v>
      </c>
      <c r="D206" s="16"/>
      <c r="E206" s="29"/>
      <c r="F206" s="21"/>
      <c r="G206" s="35"/>
      <c r="H206" s="25"/>
      <c r="I206" s="19"/>
      <c r="J206" s="18"/>
      <c r="K206" s="33"/>
      <c r="L206" s="23"/>
      <c r="M206" s="31"/>
      <c r="N206" s="27"/>
      <c r="O206" s="14" t="str">
        <f>IF(P206="","-",VLOOKUP(P206,AgentSector!$B$3:$D$30,3,TRUE))</f>
        <v>-</v>
      </c>
      <c r="P206" s="4"/>
    </row>
    <row r="207" spans="2:16">
      <c r="B207" s="4"/>
      <c r="C207" s="12" t="str">
        <f>IF(B207="","-",VLOOKUP(B207,AgentSector!$B$3:$D$30,3,TRUE))</f>
        <v>-</v>
      </c>
      <c r="D207" s="16"/>
      <c r="E207" s="29"/>
      <c r="F207" s="21"/>
      <c r="G207" s="35"/>
      <c r="H207" s="25"/>
      <c r="I207" s="19"/>
      <c r="J207" s="18"/>
      <c r="K207" s="33"/>
      <c r="L207" s="23"/>
      <c r="M207" s="31"/>
      <c r="N207" s="27"/>
      <c r="O207" s="14" t="str">
        <f>IF(P207="","-",VLOOKUP(P207,AgentSector!$B$3:$D$30,3,TRUE))</f>
        <v>-</v>
      </c>
      <c r="P207" s="4"/>
    </row>
    <row r="208" spans="2:16">
      <c r="B208" s="4"/>
      <c r="C208" s="12" t="str">
        <f>IF(B208="","-",VLOOKUP(B208,AgentSector!$B$3:$D$30,3,TRUE))</f>
        <v>-</v>
      </c>
      <c r="D208" s="16"/>
      <c r="E208" s="29"/>
      <c r="F208" s="21"/>
      <c r="G208" s="35"/>
      <c r="H208" s="25"/>
      <c r="I208" s="19"/>
      <c r="J208" s="18"/>
      <c r="K208" s="33"/>
      <c r="L208" s="23"/>
      <c r="M208" s="31"/>
      <c r="N208" s="27"/>
      <c r="O208" s="14" t="str">
        <f>IF(P208="","-",VLOOKUP(P208,AgentSector!$B$3:$D$30,3,TRUE))</f>
        <v>-</v>
      </c>
      <c r="P208" s="4"/>
    </row>
    <row r="209" spans="2:16">
      <c r="B209" s="4"/>
      <c r="C209" s="12" t="str">
        <f>IF(B209="","-",VLOOKUP(B209,AgentSector!$B$3:$D$30,3,TRUE))</f>
        <v>-</v>
      </c>
      <c r="D209" s="16"/>
      <c r="E209" s="29"/>
      <c r="F209" s="21"/>
      <c r="G209" s="35"/>
      <c r="H209" s="25"/>
      <c r="I209" s="19"/>
      <c r="J209" s="18"/>
      <c r="K209" s="33"/>
      <c r="L209" s="23"/>
      <c r="M209" s="31"/>
      <c r="N209" s="27"/>
      <c r="O209" s="14" t="str">
        <f>IF(P209="","-",VLOOKUP(P209,AgentSector!$B$3:$D$30,3,TRUE))</f>
        <v>-</v>
      </c>
      <c r="P209" s="4"/>
    </row>
    <row r="210" spans="2:16">
      <c r="B210" s="4"/>
      <c r="C210" s="12" t="str">
        <f>IF(B210="","-",VLOOKUP(B210,AgentSector!$B$3:$D$30,3,TRUE))</f>
        <v>-</v>
      </c>
      <c r="D210" s="16"/>
      <c r="E210" s="29"/>
      <c r="F210" s="21"/>
      <c r="G210" s="35"/>
      <c r="H210" s="25"/>
      <c r="I210" s="19"/>
      <c r="J210" s="18"/>
      <c r="K210" s="33"/>
      <c r="L210" s="23"/>
      <c r="M210" s="31"/>
      <c r="N210" s="27"/>
      <c r="O210" s="14" t="str">
        <f>IF(P210="","-",VLOOKUP(P210,AgentSector!$B$3:$D$30,3,TRUE))</f>
        <v>-</v>
      </c>
      <c r="P210" s="4"/>
    </row>
    <row r="211" spans="2:16">
      <c r="B211" s="4"/>
      <c r="C211" s="12" t="str">
        <f>IF(B211="","-",VLOOKUP(B211,AgentSector!$B$3:$D$30,3,TRUE))</f>
        <v>-</v>
      </c>
      <c r="D211" s="16"/>
      <c r="E211" s="29"/>
      <c r="F211" s="21"/>
      <c r="G211" s="35"/>
      <c r="H211" s="25"/>
      <c r="I211" s="19"/>
      <c r="J211" s="18"/>
      <c r="K211" s="33"/>
      <c r="L211" s="23"/>
      <c r="M211" s="31"/>
      <c r="N211" s="27"/>
      <c r="O211" s="14" t="str">
        <f>IF(P211="","-",VLOOKUP(P211,AgentSector!$B$3:$D$30,3,TRUE))</f>
        <v>-</v>
      </c>
      <c r="P211" s="4"/>
    </row>
    <row r="212" spans="2:16">
      <c r="B212" s="4"/>
      <c r="C212" s="12" t="str">
        <f>IF(B212="","-",VLOOKUP(B212,AgentSector!$B$3:$D$30,3,TRUE))</f>
        <v>-</v>
      </c>
      <c r="D212" s="16"/>
      <c r="E212" s="29"/>
      <c r="F212" s="21"/>
      <c r="G212" s="35"/>
      <c r="H212" s="25"/>
      <c r="I212" s="19"/>
      <c r="J212" s="18"/>
      <c r="K212" s="33"/>
      <c r="L212" s="23"/>
      <c r="M212" s="31"/>
      <c r="N212" s="27"/>
      <c r="O212" s="14" t="str">
        <f>IF(P212="","-",VLOOKUP(P212,AgentSector!$B$3:$D$30,3,TRUE))</f>
        <v>-</v>
      </c>
      <c r="P212" s="4"/>
    </row>
    <row r="213" spans="2:16">
      <c r="B213" s="4"/>
      <c r="C213" s="12" t="str">
        <f>IF(B213="","-",VLOOKUP(B213,AgentSector!$B$3:$D$30,3,TRUE))</f>
        <v>-</v>
      </c>
      <c r="D213" s="16"/>
      <c r="E213" s="29"/>
      <c r="F213" s="21"/>
      <c r="G213" s="35"/>
      <c r="H213" s="25"/>
      <c r="I213" s="19"/>
      <c r="J213" s="18"/>
      <c r="K213" s="33"/>
      <c r="L213" s="23"/>
      <c r="M213" s="31"/>
      <c r="N213" s="27"/>
      <c r="O213" s="14" t="str">
        <f>IF(P213="","-",VLOOKUP(P213,AgentSector!$B$3:$D$30,3,TRUE))</f>
        <v>-</v>
      </c>
      <c r="P213" s="4"/>
    </row>
    <row r="214" spans="2:16">
      <c r="B214" s="4"/>
      <c r="C214" s="12" t="str">
        <f>IF(B214="","-",VLOOKUP(B214,AgentSector!$B$3:$D$30,3,TRUE))</f>
        <v>-</v>
      </c>
      <c r="D214" s="16"/>
      <c r="E214" s="29"/>
      <c r="F214" s="21"/>
      <c r="G214" s="35"/>
      <c r="H214" s="25"/>
      <c r="I214" s="19"/>
      <c r="J214" s="18"/>
      <c r="K214" s="33"/>
      <c r="L214" s="23"/>
      <c r="M214" s="31"/>
      <c r="N214" s="27"/>
      <c r="O214" s="14" t="str">
        <f>IF(P214="","-",VLOOKUP(P214,AgentSector!$B$3:$D$30,3,TRUE))</f>
        <v>-</v>
      </c>
      <c r="P214" s="4"/>
    </row>
    <row r="215" spans="2:16">
      <c r="B215" s="4"/>
      <c r="C215" s="12" t="str">
        <f>IF(B215="","-",VLOOKUP(B215,AgentSector!$B$3:$D$30,3,TRUE))</f>
        <v>-</v>
      </c>
      <c r="D215" s="16"/>
      <c r="E215" s="29"/>
      <c r="F215" s="21"/>
      <c r="G215" s="35"/>
      <c r="H215" s="25"/>
      <c r="I215" s="19"/>
      <c r="J215" s="18"/>
      <c r="K215" s="33"/>
      <c r="L215" s="23"/>
      <c r="M215" s="31"/>
      <c r="N215" s="27"/>
      <c r="O215" s="14" t="str">
        <f>IF(P215="","-",VLOOKUP(P215,AgentSector!$B$3:$D$30,3,TRUE))</f>
        <v>-</v>
      </c>
      <c r="P215" s="4"/>
    </row>
    <row r="216" spans="2:16">
      <c r="B216" s="4"/>
      <c r="C216" s="12" t="str">
        <f>IF(B216="","-",VLOOKUP(B216,AgentSector!$B$3:$D$30,3,TRUE))</f>
        <v>-</v>
      </c>
      <c r="D216" s="16"/>
      <c r="E216" s="29"/>
      <c r="F216" s="21"/>
      <c r="G216" s="35"/>
      <c r="H216" s="25"/>
      <c r="I216" s="19"/>
      <c r="J216" s="18"/>
      <c r="K216" s="33"/>
      <c r="L216" s="23"/>
      <c r="M216" s="31"/>
      <c r="N216" s="27"/>
      <c r="O216" s="14" t="str">
        <f>IF(P216="","-",VLOOKUP(P216,AgentSector!$B$3:$D$30,3,TRUE))</f>
        <v>-</v>
      </c>
      <c r="P216" s="4"/>
    </row>
    <row r="217" spans="2:16">
      <c r="B217" s="4"/>
      <c r="C217" s="12" t="str">
        <f>IF(B217="","-",VLOOKUP(B217,AgentSector!$B$3:$D$30,3,TRUE))</f>
        <v>-</v>
      </c>
      <c r="D217" s="16"/>
      <c r="E217" s="29"/>
      <c r="F217" s="21"/>
      <c r="G217" s="35"/>
      <c r="H217" s="25"/>
      <c r="I217" s="19"/>
      <c r="J217" s="18"/>
      <c r="K217" s="33"/>
      <c r="L217" s="23"/>
      <c r="M217" s="31"/>
      <c r="N217" s="27"/>
      <c r="O217" s="14" t="str">
        <f>IF(P217="","-",VLOOKUP(P217,AgentSector!$B$3:$D$30,3,TRUE))</f>
        <v>-</v>
      </c>
      <c r="P217" s="4"/>
    </row>
    <row r="218" spans="2:16">
      <c r="B218" s="4"/>
      <c r="C218" s="12" t="str">
        <f>IF(B218="","-",VLOOKUP(B218,AgentSector!$B$3:$D$30,3,TRUE))</f>
        <v>-</v>
      </c>
      <c r="D218" s="16"/>
      <c r="E218" s="29"/>
      <c r="F218" s="21"/>
      <c r="G218" s="35"/>
      <c r="H218" s="25"/>
      <c r="I218" s="19"/>
      <c r="J218" s="18"/>
      <c r="K218" s="33"/>
      <c r="L218" s="23"/>
      <c r="M218" s="31"/>
      <c r="N218" s="27"/>
      <c r="O218" s="14" t="str">
        <f>IF(P218="","-",VLOOKUP(P218,AgentSector!$B$3:$D$30,3,TRUE))</f>
        <v>-</v>
      </c>
      <c r="P218" s="4"/>
    </row>
    <row r="219" spans="2:16">
      <c r="B219" s="4"/>
      <c r="C219" s="12" t="str">
        <f>IF(B219="","-",VLOOKUP(B219,AgentSector!$B$3:$D$30,3,TRUE))</f>
        <v>-</v>
      </c>
      <c r="D219" s="16"/>
      <c r="E219" s="29"/>
      <c r="F219" s="21"/>
      <c r="G219" s="35"/>
      <c r="H219" s="25"/>
      <c r="I219" s="19"/>
      <c r="J219" s="18"/>
      <c r="K219" s="33"/>
      <c r="L219" s="23"/>
      <c r="M219" s="31"/>
      <c r="N219" s="27"/>
      <c r="O219" s="14" t="str">
        <f>IF(P219="","-",VLOOKUP(P219,AgentSector!$B$3:$D$30,3,TRUE))</f>
        <v>-</v>
      </c>
      <c r="P219" s="4"/>
    </row>
    <row r="220" spans="2:16">
      <c r="B220" s="4"/>
      <c r="C220" s="12" t="str">
        <f>IF(B220="","-",VLOOKUP(B220,AgentSector!$B$3:$D$30,3,TRUE))</f>
        <v>-</v>
      </c>
      <c r="D220" s="16"/>
      <c r="E220" s="29"/>
      <c r="F220" s="21"/>
      <c r="G220" s="35"/>
      <c r="H220" s="25"/>
      <c r="I220" s="19"/>
      <c r="J220" s="18"/>
      <c r="K220" s="33"/>
      <c r="L220" s="23"/>
      <c r="M220" s="31"/>
      <c r="N220" s="27"/>
      <c r="O220" s="14" t="str">
        <f>IF(P220="","-",VLOOKUP(P220,AgentSector!$B$3:$D$30,3,TRUE))</f>
        <v>-</v>
      </c>
      <c r="P220" s="4"/>
    </row>
    <row r="221" spans="2:16">
      <c r="B221" s="4"/>
      <c r="C221" s="12" t="str">
        <f>IF(B221="","-",VLOOKUP(B221,AgentSector!$B$3:$D$30,3,TRUE))</f>
        <v>-</v>
      </c>
      <c r="D221" s="16"/>
      <c r="E221" s="29"/>
      <c r="F221" s="21"/>
      <c r="G221" s="35"/>
      <c r="H221" s="25"/>
      <c r="I221" s="19"/>
      <c r="J221" s="18"/>
      <c r="K221" s="33"/>
      <c r="L221" s="23"/>
      <c r="M221" s="31"/>
      <c r="N221" s="27"/>
      <c r="O221" s="14" t="str">
        <f>IF(P221="","-",VLOOKUP(P221,AgentSector!$B$3:$D$30,3,TRUE))</f>
        <v>-</v>
      </c>
      <c r="P221" s="4"/>
    </row>
    <row r="222" spans="2:16">
      <c r="B222" s="4"/>
      <c r="C222" s="12" t="str">
        <f>IF(B222="","-",VLOOKUP(B222,AgentSector!$B$3:$D$30,3,TRUE))</f>
        <v>-</v>
      </c>
      <c r="D222" s="16"/>
      <c r="E222" s="29"/>
      <c r="F222" s="21"/>
      <c r="G222" s="35"/>
      <c r="H222" s="25"/>
      <c r="I222" s="19"/>
      <c r="J222" s="18"/>
      <c r="K222" s="33"/>
      <c r="L222" s="23"/>
      <c r="M222" s="31"/>
      <c r="N222" s="27"/>
      <c r="O222" s="14" t="str">
        <f>IF(P222="","-",VLOOKUP(P222,AgentSector!$B$3:$D$30,3,TRUE))</f>
        <v>-</v>
      </c>
      <c r="P222" s="4"/>
    </row>
    <row r="223" spans="2:16">
      <c r="B223" s="4"/>
      <c r="C223" s="12" t="str">
        <f>IF(B223="","-",VLOOKUP(B223,AgentSector!$B$3:$D$30,3,TRUE))</f>
        <v>-</v>
      </c>
      <c r="D223" s="16"/>
      <c r="E223" s="29"/>
      <c r="F223" s="21"/>
      <c r="G223" s="35"/>
      <c r="H223" s="25"/>
      <c r="I223" s="19"/>
      <c r="J223" s="18"/>
      <c r="K223" s="33"/>
      <c r="L223" s="23"/>
      <c r="M223" s="31"/>
      <c r="N223" s="27"/>
      <c r="O223" s="14" t="str">
        <f>IF(P223="","-",VLOOKUP(P223,AgentSector!$B$3:$D$30,3,TRUE))</f>
        <v>-</v>
      </c>
      <c r="P223" s="4"/>
    </row>
    <row r="224" spans="2:16">
      <c r="B224" s="4"/>
      <c r="C224" s="12" t="str">
        <f>IF(B224="","-",VLOOKUP(B224,AgentSector!$B$3:$D$30,3,TRUE))</f>
        <v>-</v>
      </c>
      <c r="D224" s="16"/>
      <c r="E224" s="29"/>
      <c r="F224" s="21"/>
      <c r="G224" s="35"/>
      <c r="H224" s="25"/>
      <c r="I224" s="19"/>
      <c r="J224" s="18"/>
      <c r="K224" s="33"/>
      <c r="L224" s="23"/>
      <c r="M224" s="31"/>
      <c r="N224" s="27"/>
      <c r="O224" s="14" t="str">
        <f>IF(P224="","-",VLOOKUP(P224,AgentSector!$B$3:$D$30,3,TRUE))</f>
        <v>-</v>
      </c>
      <c r="P224" s="4"/>
    </row>
    <row r="225" spans="2:16">
      <c r="B225" s="4"/>
      <c r="C225" s="12" t="str">
        <f>IF(B225="","-",VLOOKUP(B225,AgentSector!$B$3:$D$30,3,TRUE))</f>
        <v>-</v>
      </c>
      <c r="D225" s="16"/>
      <c r="E225" s="29"/>
      <c r="F225" s="21"/>
      <c r="G225" s="35"/>
      <c r="H225" s="25"/>
      <c r="I225" s="19"/>
      <c r="J225" s="18"/>
      <c r="K225" s="33"/>
      <c r="L225" s="23"/>
      <c r="M225" s="31"/>
      <c r="N225" s="27"/>
      <c r="O225" s="14" t="str">
        <f>IF(P225="","-",VLOOKUP(P225,AgentSector!$B$3:$D$30,3,TRUE))</f>
        <v>-</v>
      </c>
      <c r="P225" s="4"/>
    </row>
    <row r="226" spans="2:16">
      <c r="B226" s="4"/>
      <c r="C226" s="12" t="str">
        <f>IF(B226="","-",VLOOKUP(B226,AgentSector!$B$3:$D$30,3,TRUE))</f>
        <v>-</v>
      </c>
      <c r="D226" s="16"/>
      <c r="E226" s="29"/>
      <c r="F226" s="21"/>
      <c r="G226" s="35"/>
      <c r="H226" s="25"/>
      <c r="I226" s="19"/>
      <c r="J226" s="18"/>
      <c r="K226" s="33"/>
      <c r="L226" s="23"/>
      <c r="M226" s="31"/>
      <c r="N226" s="27"/>
      <c r="O226" s="14" t="str">
        <f>IF(P226="","-",VLOOKUP(P226,AgentSector!$B$3:$D$30,3,TRUE))</f>
        <v>-</v>
      </c>
      <c r="P226" s="4"/>
    </row>
    <row r="227" spans="2:16">
      <c r="B227" s="4"/>
      <c r="C227" s="12" t="str">
        <f>IF(B227="","-",VLOOKUP(B227,AgentSector!$B$3:$D$30,3,TRUE))</f>
        <v>-</v>
      </c>
      <c r="D227" s="16"/>
      <c r="E227" s="29"/>
      <c r="F227" s="21"/>
      <c r="G227" s="35"/>
      <c r="H227" s="25"/>
      <c r="I227" s="19"/>
      <c r="J227" s="18"/>
      <c r="K227" s="33"/>
      <c r="L227" s="23"/>
      <c r="M227" s="31"/>
      <c r="N227" s="27"/>
      <c r="O227" s="14" t="str">
        <f>IF(P227="","-",VLOOKUP(P227,AgentSector!$B$3:$D$30,3,TRUE))</f>
        <v>-</v>
      </c>
      <c r="P227" s="4"/>
    </row>
    <row r="228" spans="2:16">
      <c r="B228" s="4"/>
      <c r="C228" s="12" t="str">
        <f>IF(B228="","-",VLOOKUP(B228,AgentSector!$B$3:$D$30,3,TRUE))</f>
        <v>-</v>
      </c>
      <c r="D228" s="16"/>
      <c r="E228" s="29"/>
      <c r="F228" s="21"/>
      <c r="G228" s="35"/>
      <c r="H228" s="25"/>
      <c r="I228" s="19"/>
      <c r="J228" s="18"/>
      <c r="K228" s="33"/>
      <c r="L228" s="23"/>
      <c r="M228" s="31"/>
      <c r="N228" s="27"/>
      <c r="O228" s="14" t="str">
        <f>IF(P228="","-",VLOOKUP(P228,AgentSector!$B$3:$D$30,3,TRUE))</f>
        <v>-</v>
      </c>
      <c r="P228" s="4"/>
    </row>
    <row r="229" spans="2:16">
      <c r="B229" s="4"/>
      <c r="C229" s="12" t="str">
        <f>IF(B229="","-",VLOOKUP(B229,AgentSector!$B$3:$D$30,3,TRUE))</f>
        <v>-</v>
      </c>
      <c r="D229" s="16"/>
      <c r="E229" s="29"/>
      <c r="F229" s="21"/>
      <c r="G229" s="35"/>
      <c r="H229" s="25"/>
      <c r="I229" s="19"/>
      <c r="J229" s="18"/>
      <c r="K229" s="33"/>
      <c r="L229" s="23"/>
      <c r="M229" s="31"/>
      <c r="N229" s="27"/>
      <c r="O229" s="14" t="str">
        <f>IF(P229="","-",VLOOKUP(P229,AgentSector!$B$3:$D$30,3,TRUE))</f>
        <v>-</v>
      </c>
      <c r="P229" s="4"/>
    </row>
    <row r="230" spans="2:16">
      <c r="B230" s="4"/>
      <c r="C230" s="12" t="str">
        <f>IF(B230="","-",VLOOKUP(B230,AgentSector!$B$3:$D$30,3,TRUE))</f>
        <v>-</v>
      </c>
      <c r="D230" s="16"/>
      <c r="E230" s="29"/>
      <c r="F230" s="21"/>
      <c r="G230" s="35"/>
      <c r="H230" s="25"/>
      <c r="I230" s="19"/>
      <c r="J230" s="18"/>
      <c r="K230" s="33"/>
      <c r="L230" s="23"/>
      <c r="M230" s="31"/>
      <c r="N230" s="27"/>
      <c r="O230" s="14" t="str">
        <f>IF(P230="","-",VLOOKUP(P230,AgentSector!$B$3:$D$30,3,TRUE))</f>
        <v>-</v>
      </c>
      <c r="P230" s="4"/>
    </row>
    <row r="231" spans="2:16">
      <c r="B231" s="4"/>
      <c r="C231" s="12" t="str">
        <f>IF(B231="","-",VLOOKUP(B231,AgentSector!$B$3:$D$30,3,TRUE))</f>
        <v>-</v>
      </c>
      <c r="D231" s="16"/>
      <c r="E231" s="29"/>
      <c r="F231" s="21"/>
      <c r="G231" s="35"/>
      <c r="H231" s="25"/>
      <c r="I231" s="19"/>
      <c r="J231" s="18"/>
      <c r="K231" s="33"/>
      <c r="L231" s="23"/>
      <c r="M231" s="31"/>
      <c r="N231" s="27"/>
      <c r="O231" s="14" t="str">
        <f>IF(P231="","-",VLOOKUP(P231,AgentSector!$B$3:$D$30,3,TRUE))</f>
        <v>-</v>
      </c>
      <c r="P231" s="4"/>
    </row>
    <row r="232" spans="2:16">
      <c r="B232" s="4"/>
      <c r="C232" s="12" t="str">
        <f>IF(B232="","-",VLOOKUP(B232,AgentSector!$B$3:$D$30,3,TRUE))</f>
        <v>-</v>
      </c>
      <c r="D232" s="16"/>
      <c r="E232" s="29"/>
      <c r="F232" s="21"/>
      <c r="G232" s="35"/>
      <c r="H232" s="25"/>
      <c r="I232" s="19"/>
      <c r="J232" s="18"/>
      <c r="K232" s="33"/>
      <c r="L232" s="23"/>
      <c r="M232" s="31"/>
      <c r="N232" s="27"/>
      <c r="O232" s="14" t="str">
        <f>IF(P232="","-",VLOOKUP(P232,AgentSector!$B$3:$D$30,3,TRUE))</f>
        <v>-</v>
      </c>
      <c r="P232" s="4"/>
    </row>
    <row r="233" spans="2:16">
      <c r="B233" s="4"/>
      <c r="C233" s="12" t="str">
        <f>IF(B233="","-",VLOOKUP(B233,AgentSector!$B$3:$D$30,3,TRUE))</f>
        <v>-</v>
      </c>
      <c r="D233" s="16"/>
      <c r="E233" s="29"/>
      <c r="F233" s="21"/>
      <c r="G233" s="35"/>
      <c r="H233" s="25"/>
      <c r="I233" s="19"/>
      <c r="J233" s="18"/>
      <c r="K233" s="33"/>
      <c r="L233" s="23"/>
      <c r="M233" s="31"/>
      <c r="N233" s="27"/>
      <c r="O233" s="14" t="str">
        <f>IF(P233="","-",VLOOKUP(P233,AgentSector!$B$3:$D$30,3,TRUE))</f>
        <v>-</v>
      </c>
      <c r="P233" s="4"/>
    </row>
    <row r="234" spans="2:16">
      <c r="B234" s="4"/>
      <c r="C234" s="12" t="str">
        <f>IF(B234="","-",VLOOKUP(B234,AgentSector!$B$3:$D$30,3,TRUE))</f>
        <v>-</v>
      </c>
      <c r="D234" s="16"/>
      <c r="E234" s="29"/>
      <c r="F234" s="21"/>
      <c r="G234" s="35"/>
      <c r="H234" s="25"/>
      <c r="I234" s="19"/>
      <c r="J234" s="18"/>
      <c r="K234" s="33"/>
      <c r="L234" s="23"/>
      <c r="M234" s="31"/>
      <c r="N234" s="27"/>
      <c r="O234" s="14" t="str">
        <f>IF(P234="","-",VLOOKUP(P234,AgentSector!$B$3:$D$30,3,TRUE))</f>
        <v>-</v>
      </c>
      <c r="P234" s="4"/>
    </row>
    <row r="235" spans="2:16">
      <c r="B235" s="4"/>
      <c r="C235" s="12" t="str">
        <f>IF(B235="","-",VLOOKUP(B235,AgentSector!$B$3:$D$30,3,TRUE))</f>
        <v>-</v>
      </c>
      <c r="D235" s="16"/>
      <c r="E235" s="29"/>
      <c r="F235" s="21"/>
      <c r="G235" s="35"/>
      <c r="H235" s="25"/>
      <c r="I235" s="19"/>
      <c r="J235" s="18"/>
      <c r="K235" s="33"/>
      <c r="L235" s="23"/>
      <c r="M235" s="31"/>
      <c r="N235" s="27"/>
      <c r="O235" s="14" t="str">
        <f>IF(P235="","-",VLOOKUP(P235,AgentSector!$B$3:$D$30,3,TRUE))</f>
        <v>-</v>
      </c>
      <c r="P235" s="4"/>
    </row>
    <row r="236" spans="2:16">
      <c r="B236" s="4"/>
      <c r="C236" s="12" t="str">
        <f>IF(B236="","-",VLOOKUP(B236,AgentSector!$B$3:$D$30,3,TRUE))</f>
        <v>-</v>
      </c>
      <c r="D236" s="16"/>
      <c r="E236" s="29"/>
      <c r="F236" s="21"/>
      <c r="G236" s="35"/>
      <c r="H236" s="25"/>
      <c r="I236" s="19"/>
      <c r="J236" s="18"/>
      <c r="K236" s="33"/>
      <c r="L236" s="23"/>
      <c r="M236" s="31"/>
      <c r="N236" s="27"/>
      <c r="O236" s="14" t="str">
        <f>IF(P236="","-",VLOOKUP(P236,AgentSector!$B$3:$D$30,3,TRUE))</f>
        <v>-</v>
      </c>
      <c r="P236" s="4"/>
    </row>
    <row r="237" spans="2:16">
      <c r="B237" s="4"/>
      <c r="C237" s="12" t="str">
        <f>IF(B237="","-",VLOOKUP(B237,AgentSector!$B$3:$D$30,3,TRUE))</f>
        <v>-</v>
      </c>
      <c r="D237" s="16"/>
      <c r="E237" s="29"/>
      <c r="F237" s="21"/>
      <c r="G237" s="35"/>
      <c r="H237" s="25"/>
      <c r="I237" s="19"/>
      <c r="J237" s="18"/>
      <c r="K237" s="33"/>
      <c r="L237" s="23"/>
      <c r="M237" s="31"/>
      <c r="N237" s="27"/>
      <c r="O237" s="14" t="str">
        <f>IF(P237="","-",VLOOKUP(P237,AgentSector!$B$3:$D$30,3,TRUE))</f>
        <v>-</v>
      </c>
      <c r="P237" s="4"/>
    </row>
    <row r="238" spans="2:16">
      <c r="B238" s="4"/>
      <c r="C238" s="12" t="str">
        <f>IF(B238="","-",VLOOKUP(B238,AgentSector!$B$3:$D$30,3,TRUE))</f>
        <v>-</v>
      </c>
      <c r="D238" s="16"/>
      <c r="E238" s="29"/>
      <c r="F238" s="21"/>
      <c r="G238" s="35"/>
      <c r="H238" s="25"/>
      <c r="I238" s="19"/>
      <c r="J238" s="18"/>
      <c r="K238" s="33"/>
      <c r="L238" s="23"/>
      <c r="M238" s="31"/>
      <c r="N238" s="27"/>
      <c r="O238" s="14" t="str">
        <f>IF(P238="","-",VLOOKUP(P238,AgentSector!$B$3:$D$30,3,TRUE))</f>
        <v>-</v>
      </c>
      <c r="P238" s="4"/>
    </row>
    <row r="239" spans="2:16">
      <c r="B239" s="4"/>
      <c r="C239" s="12" t="str">
        <f>IF(B239="","-",VLOOKUP(B239,AgentSector!$B$3:$D$30,3,TRUE))</f>
        <v>-</v>
      </c>
      <c r="D239" s="16"/>
      <c r="E239" s="29"/>
      <c r="F239" s="21"/>
      <c r="G239" s="35"/>
      <c r="H239" s="25"/>
      <c r="I239" s="19"/>
      <c r="J239" s="18"/>
      <c r="K239" s="33"/>
      <c r="L239" s="23"/>
      <c r="M239" s="31"/>
      <c r="N239" s="27"/>
      <c r="O239" s="14" t="str">
        <f>IF(P239="","-",VLOOKUP(P239,AgentSector!$B$3:$D$30,3,TRUE))</f>
        <v>-</v>
      </c>
      <c r="P239" s="4"/>
    </row>
    <row r="240" spans="2:16">
      <c r="B240" s="4"/>
      <c r="C240" s="12" t="str">
        <f>IF(B240="","-",VLOOKUP(B240,AgentSector!$B$3:$D$30,3,TRUE))</f>
        <v>-</v>
      </c>
      <c r="D240" s="16"/>
      <c r="E240" s="29"/>
      <c r="F240" s="21"/>
      <c r="G240" s="35"/>
      <c r="H240" s="25"/>
      <c r="I240" s="19"/>
      <c r="J240" s="18"/>
      <c r="K240" s="33"/>
      <c r="L240" s="23"/>
      <c r="M240" s="31"/>
      <c r="N240" s="27"/>
      <c r="O240" s="14" t="str">
        <f>IF(P240="","-",VLOOKUP(P240,AgentSector!$B$3:$D$30,3,TRUE))</f>
        <v>-</v>
      </c>
      <c r="P240" s="4"/>
    </row>
    <row r="241" spans="2:16">
      <c r="B241" s="4"/>
      <c r="C241" s="12" t="str">
        <f>IF(B241="","-",VLOOKUP(B241,AgentSector!$B$3:$D$30,3,TRUE))</f>
        <v>-</v>
      </c>
      <c r="D241" s="16"/>
      <c r="E241" s="29"/>
      <c r="F241" s="21"/>
      <c r="G241" s="35"/>
      <c r="H241" s="25"/>
      <c r="I241" s="19"/>
      <c r="J241" s="18"/>
      <c r="K241" s="33"/>
      <c r="L241" s="23"/>
      <c r="M241" s="31"/>
      <c r="N241" s="27"/>
      <c r="O241" s="14" t="str">
        <f>IF(P241="","-",VLOOKUP(P241,AgentSector!$B$3:$D$30,3,TRUE))</f>
        <v>-</v>
      </c>
      <c r="P241" s="4"/>
    </row>
    <row r="242" spans="2:16">
      <c r="B242" s="4"/>
      <c r="C242" s="12" t="str">
        <f>IF(B242="","-",VLOOKUP(B242,AgentSector!$B$3:$D$30,3,TRUE))</f>
        <v>-</v>
      </c>
      <c r="D242" s="16"/>
      <c r="E242" s="29"/>
      <c r="F242" s="21"/>
      <c r="G242" s="35"/>
      <c r="H242" s="25"/>
      <c r="I242" s="19"/>
      <c r="J242" s="18"/>
      <c r="K242" s="33"/>
      <c r="L242" s="23"/>
      <c r="M242" s="31"/>
      <c r="N242" s="27"/>
      <c r="O242" s="14" t="str">
        <f>IF(P242="","-",VLOOKUP(P242,AgentSector!$B$3:$D$30,3,TRUE))</f>
        <v>-</v>
      </c>
      <c r="P242" s="4"/>
    </row>
    <row r="243" spans="2:16">
      <c r="B243" s="4"/>
      <c r="C243" s="12" t="str">
        <f>IF(B243="","-",VLOOKUP(B243,AgentSector!$B$3:$D$30,3,TRUE))</f>
        <v>-</v>
      </c>
      <c r="D243" s="16"/>
      <c r="E243" s="29"/>
      <c r="F243" s="21"/>
      <c r="G243" s="35"/>
      <c r="H243" s="25"/>
      <c r="I243" s="19"/>
      <c r="J243" s="18"/>
      <c r="K243" s="33"/>
      <c r="L243" s="23"/>
      <c r="M243" s="31"/>
      <c r="N243" s="27"/>
      <c r="O243" s="14" t="str">
        <f>IF(P243="","-",VLOOKUP(P243,AgentSector!$B$3:$D$30,3,TRUE))</f>
        <v>-</v>
      </c>
      <c r="P243" s="4"/>
    </row>
    <row r="244" spans="2:16">
      <c r="B244" s="4"/>
      <c r="C244" s="12" t="str">
        <f>IF(B244="","-",VLOOKUP(B244,AgentSector!$B$3:$D$30,3,TRUE))</f>
        <v>-</v>
      </c>
      <c r="D244" s="16"/>
      <c r="E244" s="29"/>
      <c r="F244" s="21"/>
      <c r="G244" s="35"/>
      <c r="H244" s="25"/>
      <c r="I244" s="19"/>
      <c r="J244" s="18"/>
      <c r="K244" s="33"/>
      <c r="L244" s="23"/>
      <c r="M244" s="31"/>
      <c r="N244" s="27"/>
      <c r="O244" s="14" t="str">
        <f>IF(P244="","-",VLOOKUP(P244,AgentSector!$B$3:$D$30,3,TRUE))</f>
        <v>-</v>
      </c>
      <c r="P244" s="4"/>
    </row>
    <row r="245" spans="2:16">
      <c r="B245" s="4"/>
      <c r="C245" s="12" t="str">
        <f>IF(B245="","-",VLOOKUP(B245,AgentSector!$B$3:$D$30,3,TRUE))</f>
        <v>-</v>
      </c>
      <c r="D245" s="16"/>
      <c r="E245" s="29"/>
      <c r="F245" s="21"/>
      <c r="G245" s="35"/>
      <c r="H245" s="25"/>
      <c r="I245" s="19"/>
      <c r="J245" s="18"/>
      <c r="K245" s="33"/>
      <c r="L245" s="23"/>
      <c r="M245" s="31"/>
      <c r="N245" s="27"/>
      <c r="O245" s="14" t="str">
        <f>IF(P245="","-",VLOOKUP(P245,AgentSector!$B$3:$D$30,3,TRUE))</f>
        <v>-</v>
      </c>
      <c r="P245" s="4"/>
    </row>
    <row r="246" spans="2:16">
      <c r="B246" s="4"/>
      <c r="C246" s="12" t="str">
        <f>IF(B246="","-",VLOOKUP(B246,AgentSector!$B$3:$D$30,3,TRUE))</f>
        <v>-</v>
      </c>
      <c r="D246" s="16"/>
      <c r="E246" s="29"/>
      <c r="F246" s="21"/>
      <c r="G246" s="35"/>
      <c r="H246" s="25"/>
      <c r="I246" s="19"/>
      <c r="J246" s="18"/>
      <c r="K246" s="33"/>
      <c r="L246" s="23"/>
      <c r="M246" s="31"/>
      <c r="N246" s="27"/>
      <c r="O246" s="14" t="str">
        <f>IF(P246="","-",VLOOKUP(P246,AgentSector!$B$3:$D$30,3,TRUE))</f>
        <v>-</v>
      </c>
      <c r="P246" s="4"/>
    </row>
    <row r="247" spans="2:16">
      <c r="B247" s="4"/>
      <c r="C247" s="12" t="str">
        <f>IF(B247="","-",VLOOKUP(B247,AgentSector!$B$3:$D$30,3,TRUE))</f>
        <v>-</v>
      </c>
      <c r="D247" s="16"/>
      <c r="E247" s="29"/>
      <c r="F247" s="21"/>
      <c r="G247" s="35"/>
      <c r="H247" s="25"/>
      <c r="I247" s="19"/>
      <c r="J247" s="18"/>
      <c r="K247" s="33"/>
      <c r="L247" s="23"/>
      <c r="M247" s="31"/>
      <c r="N247" s="27"/>
      <c r="O247" s="14" t="str">
        <f>IF(P247="","-",VLOOKUP(P247,AgentSector!$B$3:$D$30,3,TRUE))</f>
        <v>-</v>
      </c>
      <c r="P247" s="4"/>
    </row>
    <row r="248" spans="2:16">
      <c r="B248" s="4"/>
      <c r="C248" s="12" t="str">
        <f>IF(B248="","-",VLOOKUP(B248,AgentSector!$B$3:$D$30,3,TRUE))</f>
        <v>-</v>
      </c>
      <c r="D248" s="16"/>
      <c r="E248" s="29"/>
      <c r="F248" s="21"/>
      <c r="G248" s="35"/>
      <c r="H248" s="25"/>
      <c r="I248" s="19"/>
      <c r="J248" s="18"/>
      <c r="K248" s="33"/>
      <c r="L248" s="23"/>
      <c r="M248" s="31"/>
      <c r="N248" s="27"/>
      <c r="O248" s="14" t="str">
        <f>IF(P248="","-",VLOOKUP(P248,AgentSector!$B$3:$D$30,3,TRUE))</f>
        <v>-</v>
      </c>
      <c r="P248" s="4"/>
    </row>
    <row r="249" spans="2:16">
      <c r="B249" s="4"/>
      <c r="C249" s="12" t="str">
        <f>IF(B249="","-",VLOOKUP(B249,AgentSector!$B$3:$D$30,3,TRUE))</f>
        <v>-</v>
      </c>
      <c r="D249" s="16"/>
      <c r="E249" s="29"/>
      <c r="F249" s="21"/>
      <c r="G249" s="35"/>
      <c r="H249" s="25"/>
      <c r="I249" s="19"/>
      <c r="J249" s="18"/>
      <c r="K249" s="33"/>
      <c r="L249" s="23"/>
      <c r="M249" s="31"/>
      <c r="N249" s="27"/>
      <c r="O249" s="14" t="str">
        <f>IF(P249="","-",VLOOKUP(P249,AgentSector!$B$3:$D$30,3,TRUE))</f>
        <v>-</v>
      </c>
      <c r="P249" s="4"/>
    </row>
    <row r="250" spans="2:16">
      <c r="B250" s="4"/>
      <c r="C250" s="12" t="str">
        <f>IF(B250="","-",VLOOKUP(B250,AgentSector!$B$3:$D$30,3,TRUE))</f>
        <v>-</v>
      </c>
      <c r="D250" s="16"/>
      <c r="E250" s="29"/>
      <c r="F250" s="21"/>
      <c r="G250" s="35"/>
      <c r="H250" s="25"/>
      <c r="I250" s="19"/>
      <c r="J250" s="18"/>
      <c r="K250" s="33"/>
      <c r="L250" s="23"/>
      <c r="M250" s="31"/>
      <c r="N250" s="27"/>
      <c r="O250" s="14" t="str">
        <f>IF(P250="","-",VLOOKUP(P250,AgentSector!$B$3:$D$30,3,TRUE))</f>
        <v>-</v>
      </c>
      <c r="P250" s="4"/>
    </row>
    <row r="251" spans="2:16">
      <c r="B251" s="4"/>
      <c r="C251" s="12" t="str">
        <f>IF(B251="","-",VLOOKUP(B251,AgentSector!$B$3:$D$30,3,TRUE))</f>
        <v>-</v>
      </c>
      <c r="D251" s="16"/>
      <c r="E251" s="29"/>
      <c r="F251" s="21"/>
      <c r="G251" s="35"/>
      <c r="H251" s="25"/>
      <c r="I251" s="19"/>
      <c r="J251" s="18"/>
      <c r="K251" s="33"/>
      <c r="L251" s="23"/>
      <c r="M251" s="31"/>
      <c r="N251" s="27"/>
      <c r="O251" s="14" t="str">
        <f>IF(P251="","-",VLOOKUP(P251,AgentSector!$B$3:$D$30,3,TRUE))</f>
        <v>-</v>
      </c>
      <c r="P251" s="4"/>
    </row>
    <row r="252" spans="2:16">
      <c r="B252" s="4"/>
      <c r="C252" s="12" t="str">
        <f>IF(B252="","-",VLOOKUP(B252,AgentSector!$B$3:$D$30,3,TRUE))</f>
        <v>-</v>
      </c>
      <c r="D252" s="16"/>
      <c r="E252" s="29"/>
      <c r="F252" s="21"/>
      <c r="G252" s="35"/>
      <c r="H252" s="25"/>
      <c r="I252" s="19"/>
      <c r="J252" s="18"/>
      <c r="K252" s="33"/>
      <c r="L252" s="23"/>
      <c r="M252" s="31"/>
      <c r="N252" s="27"/>
      <c r="O252" s="14" t="str">
        <f>IF(P252="","-",VLOOKUP(P252,AgentSector!$B$3:$D$30,3,TRUE))</f>
        <v>-</v>
      </c>
      <c r="P252" s="4"/>
    </row>
    <row r="253" spans="2:16">
      <c r="B253" s="4"/>
      <c r="C253" s="12" t="str">
        <f>IF(B253="","-",VLOOKUP(B253,AgentSector!$B$3:$D$30,3,TRUE))</f>
        <v>-</v>
      </c>
      <c r="D253" s="16"/>
      <c r="E253" s="29"/>
      <c r="F253" s="21"/>
      <c r="G253" s="35"/>
      <c r="H253" s="25"/>
      <c r="I253" s="19"/>
      <c r="J253" s="18"/>
      <c r="K253" s="33"/>
      <c r="L253" s="23"/>
      <c r="M253" s="31"/>
      <c r="N253" s="27"/>
      <c r="O253" s="14" t="str">
        <f>IF(P253="","-",VLOOKUP(P253,AgentSector!$B$3:$D$30,3,TRUE))</f>
        <v>-</v>
      </c>
      <c r="P253" s="4"/>
    </row>
    <row r="254" spans="2:16">
      <c r="B254" s="4"/>
      <c r="C254" s="12" t="str">
        <f>IF(B254="","-",VLOOKUP(B254,AgentSector!$B$3:$D$30,3,TRUE))</f>
        <v>-</v>
      </c>
      <c r="D254" s="16"/>
      <c r="E254" s="29"/>
      <c r="F254" s="21"/>
      <c r="G254" s="35"/>
      <c r="H254" s="25"/>
      <c r="I254" s="19"/>
      <c r="J254" s="18"/>
      <c r="K254" s="33"/>
      <c r="L254" s="23"/>
      <c r="M254" s="31"/>
      <c r="N254" s="27"/>
      <c r="O254" s="14" t="str">
        <f>IF(P254="","-",VLOOKUP(P254,AgentSector!$B$3:$D$30,3,TRUE))</f>
        <v>-</v>
      </c>
      <c r="P254" s="4"/>
    </row>
    <row r="255" spans="2:16">
      <c r="B255" s="4"/>
      <c r="C255" s="12" t="str">
        <f>IF(B255="","-",VLOOKUP(B255,AgentSector!$B$3:$D$30,3,TRUE))</f>
        <v>-</v>
      </c>
      <c r="D255" s="16"/>
      <c r="E255" s="29"/>
      <c r="F255" s="21"/>
      <c r="G255" s="35"/>
      <c r="H255" s="25"/>
      <c r="I255" s="19"/>
      <c r="J255" s="18"/>
      <c r="K255" s="33"/>
      <c r="L255" s="23"/>
      <c r="M255" s="31"/>
      <c r="N255" s="27"/>
      <c r="O255" s="14" t="str">
        <f>IF(P255="","-",VLOOKUP(P255,AgentSector!$B$3:$D$30,3,TRUE))</f>
        <v>-</v>
      </c>
      <c r="P255" s="4"/>
    </row>
    <row r="256" spans="2:16">
      <c r="B256" s="4"/>
      <c r="C256" s="12" t="str">
        <f>IF(B256="","-",VLOOKUP(B256,AgentSector!$B$3:$D$30,3,TRUE))</f>
        <v>-</v>
      </c>
      <c r="D256" s="16"/>
      <c r="E256" s="29"/>
      <c r="F256" s="21"/>
      <c r="G256" s="35"/>
      <c r="H256" s="25"/>
      <c r="I256" s="19"/>
      <c r="J256" s="18"/>
      <c r="K256" s="33"/>
      <c r="L256" s="23"/>
      <c r="M256" s="31"/>
      <c r="N256" s="27"/>
      <c r="O256" s="14" t="str">
        <f>IF(P256="","-",VLOOKUP(P256,AgentSector!$B$3:$D$30,3,TRUE))</f>
        <v>-</v>
      </c>
      <c r="P256" s="4"/>
    </row>
    <row r="257" spans="2:16">
      <c r="B257" s="4"/>
      <c r="C257" s="12" t="str">
        <f>IF(B257="","-",VLOOKUP(B257,AgentSector!$B$3:$D$30,3,TRUE))</f>
        <v>-</v>
      </c>
      <c r="D257" s="16"/>
      <c r="E257" s="29"/>
      <c r="F257" s="21"/>
      <c r="G257" s="35"/>
      <c r="H257" s="25"/>
      <c r="I257" s="19"/>
      <c r="J257" s="18"/>
      <c r="K257" s="33"/>
      <c r="L257" s="23"/>
      <c r="M257" s="31"/>
      <c r="N257" s="27"/>
      <c r="O257" s="14" t="str">
        <f>IF(P257="","-",VLOOKUP(P257,AgentSector!$B$3:$D$30,3,TRUE))</f>
        <v>-</v>
      </c>
      <c r="P257" s="4"/>
    </row>
    <row r="258" spans="2:16">
      <c r="B258" s="4"/>
      <c r="C258" s="12" t="str">
        <f>IF(B258="","-",VLOOKUP(B258,AgentSector!$B$3:$D$30,3,TRUE))</f>
        <v>-</v>
      </c>
      <c r="D258" s="16"/>
      <c r="E258" s="29"/>
      <c r="F258" s="21"/>
      <c r="G258" s="35"/>
      <c r="H258" s="25"/>
      <c r="I258" s="19"/>
      <c r="J258" s="18"/>
      <c r="K258" s="33"/>
      <c r="L258" s="23"/>
      <c r="M258" s="31"/>
      <c r="N258" s="27"/>
      <c r="O258" s="14" t="str">
        <f>IF(P258="","-",VLOOKUP(P258,AgentSector!$B$3:$D$30,3,TRUE))</f>
        <v>-</v>
      </c>
      <c r="P258" s="4"/>
    </row>
    <row r="259" spans="2:16">
      <c r="B259" s="4"/>
      <c r="C259" s="12" t="str">
        <f>IF(B259="","-",VLOOKUP(B259,AgentSector!$B$3:$D$30,3,TRUE))</f>
        <v>-</v>
      </c>
      <c r="D259" s="16"/>
      <c r="E259" s="29"/>
      <c r="F259" s="21"/>
      <c r="G259" s="35"/>
      <c r="H259" s="25"/>
      <c r="I259" s="19"/>
      <c r="J259" s="18"/>
      <c r="K259" s="33"/>
      <c r="L259" s="23"/>
      <c r="M259" s="31"/>
      <c r="N259" s="27"/>
      <c r="O259" s="14" t="str">
        <f>IF(P259="","-",VLOOKUP(P259,AgentSector!$B$3:$D$30,3,TRUE))</f>
        <v>-</v>
      </c>
      <c r="P259" s="4"/>
    </row>
    <row r="260" spans="2:16">
      <c r="B260" s="4"/>
      <c r="C260" s="12" t="str">
        <f>IF(B260="","-",VLOOKUP(B260,AgentSector!$B$3:$D$30,3,TRUE))</f>
        <v>-</v>
      </c>
      <c r="D260" s="16"/>
      <c r="E260" s="29"/>
      <c r="F260" s="21"/>
      <c r="G260" s="35"/>
      <c r="H260" s="25"/>
      <c r="I260" s="19"/>
      <c r="J260" s="18"/>
      <c r="K260" s="33"/>
      <c r="L260" s="23"/>
      <c r="M260" s="31"/>
      <c r="N260" s="27"/>
      <c r="O260" s="14" t="str">
        <f>IF(P260="","-",VLOOKUP(P260,AgentSector!$B$3:$D$30,3,TRUE))</f>
        <v>-</v>
      </c>
      <c r="P260" s="4"/>
    </row>
    <row r="261" spans="2:16">
      <c r="B261" s="4"/>
      <c r="C261" s="12" t="str">
        <f>IF(B261="","-",VLOOKUP(B261,AgentSector!$B$3:$D$30,3,TRUE))</f>
        <v>-</v>
      </c>
      <c r="D261" s="16"/>
      <c r="E261" s="29"/>
      <c r="F261" s="21"/>
      <c r="G261" s="35"/>
      <c r="H261" s="25"/>
      <c r="I261" s="19"/>
      <c r="J261" s="18"/>
      <c r="K261" s="33"/>
      <c r="L261" s="23"/>
      <c r="M261" s="31"/>
      <c r="N261" s="27"/>
      <c r="O261" s="14" t="str">
        <f>IF(P261="","-",VLOOKUP(P261,AgentSector!$B$3:$D$30,3,TRUE))</f>
        <v>-</v>
      </c>
      <c r="P261" s="4"/>
    </row>
    <row r="262" spans="2:16">
      <c r="B262" s="4"/>
      <c r="C262" s="12" t="str">
        <f>IF(B262="","-",VLOOKUP(B262,AgentSector!$B$3:$D$30,3,TRUE))</f>
        <v>-</v>
      </c>
      <c r="D262" s="16"/>
      <c r="E262" s="29"/>
      <c r="F262" s="21"/>
      <c r="G262" s="35"/>
      <c r="H262" s="25"/>
      <c r="I262" s="19"/>
      <c r="J262" s="18"/>
      <c r="K262" s="33"/>
      <c r="L262" s="23"/>
      <c r="M262" s="31"/>
      <c r="N262" s="27"/>
      <c r="O262" s="14" t="str">
        <f>IF(P262="","-",VLOOKUP(P262,AgentSector!$B$3:$D$30,3,TRUE))</f>
        <v>-</v>
      </c>
      <c r="P262" s="4"/>
    </row>
    <row r="263" spans="2:16">
      <c r="B263" s="4"/>
      <c r="C263" s="12" t="str">
        <f>IF(B263="","-",VLOOKUP(B263,AgentSector!$B$3:$D$30,3,TRUE))</f>
        <v>-</v>
      </c>
      <c r="D263" s="16"/>
      <c r="E263" s="29"/>
      <c r="F263" s="21"/>
      <c r="G263" s="35"/>
      <c r="H263" s="25"/>
      <c r="I263" s="19"/>
      <c r="J263" s="18"/>
      <c r="K263" s="33"/>
      <c r="L263" s="23"/>
      <c r="M263" s="31"/>
      <c r="N263" s="27"/>
      <c r="O263" s="14" t="str">
        <f>IF(P263="","-",VLOOKUP(P263,AgentSector!$B$3:$D$30,3,TRUE))</f>
        <v>-</v>
      </c>
      <c r="P263" s="4"/>
    </row>
    <row r="264" spans="2:16">
      <c r="B264" s="4"/>
      <c r="C264" s="12" t="str">
        <f>IF(B264="","-",VLOOKUP(B264,AgentSector!$B$3:$D$30,3,TRUE))</f>
        <v>-</v>
      </c>
      <c r="D264" s="16"/>
      <c r="E264" s="29"/>
      <c r="F264" s="21"/>
      <c r="G264" s="35"/>
      <c r="H264" s="25"/>
      <c r="I264" s="19"/>
      <c r="J264" s="18"/>
      <c r="K264" s="33"/>
      <c r="L264" s="23"/>
      <c r="M264" s="31"/>
      <c r="N264" s="27"/>
      <c r="O264" s="14" t="str">
        <f>IF(P264="","-",VLOOKUP(P264,AgentSector!$B$3:$D$30,3,TRUE))</f>
        <v>-</v>
      </c>
      <c r="P264" s="4"/>
    </row>
    <row r="265" spans="2:16">
      <c r="B265" s="4"/>
      <c r="C265" s="12" t="str">
        <f>IF(B265="","-",VLOOKUP(B265,AgentSector!$B$3:$D$30,3,TRUE))</f>
        <v>-</v>
      </c>
      <c r="D265" s="16"/>
      <c r="E265" s="29"/>
      <c r="F265" s="21"/>
      <c r="G265" s="35"/>
      <c r="H265" s="25"/>
      <c r="I265" s="19"/>
      <c r="J265" s="18"/>
      <c r="K265" s="33"/>
      <c r="L265" s="23"/>
      <c r="M265" s="31"/>
      <c r="N265" s="27"/>
      <c r="O265" s="14" t="str">
        <f>IF(P265="","-",VLOOKUP(P265,AgentSector!$B$3:$D$30,3,TRUE))</f>
        <v>-</v>
      </c>
      <c r="P265" s="4"/>
    </row>
    <row r="266" spans="2:16">
      <c r="B266" s="4"/>
      <c r="C266" s="12" t="str">
        <f>IF(B266="","-",VLOOKUP(B266,AgentSector!$B$3:$D$30,3,TRUE))</f>
        <v>-</v>
      </c>
      <c r="D266" s="16"/>
      <c r="E266" s="29"/>
      <c r="F266" s="21"/>
      <c r="G266" s="35"/>
      <c r="H266" s="25"/>
      <c r="I266" s="19"/>
      <c r="J266" s="18"/>
      <c r="K266" s="33"/>
      <c r="L266" s="23"/>
      <c r="M266" s="31"/>
      <c r="N266" s="27"/>
      <c r="O266" s="14" t="str">
        <f>IF(P266="","-",VLOOKUP(P266,AgentSector!$B$3:$D$30,3,TRUE))</f>
        <v>-</v>
      </c>
      <c r="P266" s="4"/>
    </row>
    <row r="267" spans="2:16">
      <c r="B267" s="4"/>
      <c r="C267" s="12" t="str">
        <f>IF(B267="","-",VLOOKUP(B267,AgentSector!$B$3:$D$30,3,TRUE))</f>
        <v>-</v>
      </c>
      <c r="D267" s="16"/>
      <c r="E267" s="29"/>
      <c r="F267" s="21"/>
      <c r="G267" s="35"/>
      <c r="H267" s="25"/>
      <c r="I267" s="19"/>
      <c r="J267" s="18"/>
      <c r="K267" s="33"/>
      <c r="L267" s="23"/>
      <c r="M267" s="31"/>
      <c r="N267" s="27"/>
      <c r="O267" s="14" t="str">
        <f>IF(P267="","-",VLOOKUP(P267,AgentSector!$B$3:$D$30,3,TRUE))</f>
        <v>-</v>
      </c>
      <c r="P267" s="4"/>
    </row>
    <row r="268" spans="2:16">
      <c r="B268" s="4"/>
      <c r="C268" s="12" t="str">
        <f>IF(B268="","-",VLOOKUP(B268,AgentSector!$B$3:$D$30,3,TRUE))</f>
        <v>-</v>
      </c>
      <c r="D268" s="16"/>
      <c r="E268" s="29"/>
      <c r="F268" s="21"/>
      <c r="G268" s="35"/>
      <c r="H268" s="25"/>
      <c r="I268" s="19"/>
      <c r="J268" s="18"/>
      <c r="K268" s="33"/>
      <c r="L268" s="23"/>
      <c r="M268" s="31"/>
      <c r="N268" s="27"/>
      <c r="O268" s="14" t="str">
        <f>IF(P268="","-",VLOOKUP(P268,AgentSector!$B$3:$D$30,3,TRUE))</f>
        <v>-</v>
      </c>
      <c r="P268" s="4"/>
    </row>
    <row r="269" spans="2:16">
      <c r="B269" s="4"/>
      <c r="C269" s="12" t="str">
        <f>IF(B269="","-",VLOOKUP(B269,AgentSector!$B$3:$D$30,3,TRUE))</f>
        <v>-</v>
      </c>
      <c r="D269" s="16"/>
      <c r="E269" s="29"/>
      <c r="F269" s="21"/>
      <c r="G269" s="35"/>
      <c r="H269" s="25"/>
      <c r="I269" s="19"/>
      <c r="J269" s="18"/>
      <c r="K269" s="33"/>
      <c r="L269" s="23"/>
      <c r="M269" s="31"/>
      <c r="N269" s="27"/>
      <c r="O269" s="14" t="str">
        <f>IF(P269="","-",VLOOKUP(P269,AgentSector!$B$3:$D$30,3,TRUE))</f>
        <v>-</v>
      </c>
      <c r="P269" s="4"/>
    </row>
    <row r="270" spans="2:16">
      <c r="B270" s="4"/>
      <c r="C270" s="12" t="str">
        <f>IF(B270="","-",VLOOKUP(B270,AgentSector!$B$3:$D$30,3,TRUE))</f>
        <v>-</v>
      </c>
      <c r="D270" s="16"/>
      <c r="E270" s="29"/>
      <c r="F270" s="21"/>
      <c r="G270" s="35"/>
      <c r="H270" s="25"/>
      <c r="I270" s="19"/>
      <c r="J270" s="18"/>
      <c r="K270" s="33"/>
      <c r="L270" s="23"/>
      <c r="M270" s="31"/>
      <c r="N270" s="27"/>
      <c r="O270" s="14" t="str">
        <f>IF(P270="","-",VLOOKUP(P270,AgentSector!$B$3:$D$30,3,TRUE))</f>
        <v>-</v>
      </c>
      <c r="P270" s="4"/>
    </row>
    <row r="271" spans="2:16">
      <c r="B271" s="4"/>
      <c r="C271" s="12" t="str">
        <f>IF(B271="","-",VLOOKUP(B271,AgentSector!$B$3:$D$30,3,TRUE))</f>
        <v>-</v>
      </c>
      <c r="D271" s="16"/>
      <c r="E271" s="29"/>
      <c r="F271" s="21"/>
      <c r="G271" s="35"/>
      <c r="H271" s="25"/>
      <c r="I271" s="19"/>
      <c r="J271" s="18"/>
      <c r="K271" s="33"/>
      <c r="L271" s="23"/>
      <c r="M271" s="31"/>
      <c r="N271" s="27"/>
      <c r="O271" s="14" t="str">
        <f>IF(P271="","-",VLOOKUP(P271,AgentSector!$B$3:$D$30,3,TRUE))</f>
        <v>-</v>
      </c>
      <c r="P271" s="4"/>
    </row>
    <row r="272" spans="2:16">
      <c r="B272" s="4"/>
      <c r="C272" s="12" t="str">
        <f>IF(B272="","-",VLOOKUP(B272,AgentSector!$B$3:$D$30,3,TRUE))</f>
        <v>-</v>
      </c>
      <c r="D272" s="16"/>
      <c r="E272" s="29"/>
      <c r="F272" s="21"/>
      <c r="G272" s="35"/>
      <c r="H272" s="25"/>
      <c r="I272" s="19"/>
      <c r="J272" s="18"/>
      <c r="K272" s="33"/>
      <c r="L272" s="23"/>
      <c r="M272" s="31"/>
      <c r="N272" s="27"/>
      <c r="O272" s="14" t="str">
        <f>IF(P272="","-",VLOOKUP(P272,AgentSector!$B$3:$D$30,3,TRUE))</f>
        <v>-</v>
      </c>
      <c r="P272" s="4"/>
    </row>
    <row r="273" spans="2:16">
      <c r="B273" s="4"/>
      <c r="C273" s="12" t="str">
        <f>IF(B273="","-",VLOOKUP(B273,AgentSector!$B$3:$D$30,3,TRUE))</f>
        <v>-</v>
      </c>
      <c r="D273" s="16"/>
      <c r="E273" s="29"/>
      <c r="F273" s="21"/>
      <c r="G273" s="35"/>
      <c r="H273" s="25"/>
      <c r="I273" s="19"/>
      <c r="J273" s="18"/>
      <c r="K273" s="33"/>
      <c r="L273" s="23"/>
      <c r="M273" s="31"/>
      <c r="N273" s="27"/>
      <c r="O273" s="14" t="str">
        <f>IF(P273="","-",VLOOKUP(P273,AgentSector!$B$3:$D$30,3,TRUE))</f>
        <v>-</v>
      </c>
      <c r="P273" s="4"/>
    </row>
    <row r="274" spans="2:16">
      <c r="B274" s="4"/>
      <c r="C274" s="12" t="str">
        <f>IF(B274="","-",VLOOKUP(B274,AgentSector!$B$3:$D$30,3,TRUE))</f>
        <v>-</v>
      </c>
      <c r="D274" s="16"/>
      <c r="E274" s="29"/>
      <c r="F274" s="21"/>
      <c r="G274" s="35"/>
      <c r="H274" s="25"/>
      <c r="I274" s="19"/>
      <c r="J274" s="18"/>
      <c r="K274" s="33"/>
      <c r="L274" s="23"/>
      <c r="M274" s="31"/>
      <c r="N274" s="27"/>
      <c r="O274" s="14" t="str">
        <f>IF(P274="","-",VLOOKUP(P274,AgentSector!$B$3:$D$30,3,TRUE))</f>
        <v>-</v>
      </c>
      <c r="P274" s="4"/>
    </row>
    <row r="275" spans="2:16">
      <c r="B275" s="4"/>
      <c r="C275" s="12" t="str">
        <f>IF(B275="","-",VLOOKUP(B275,AgentSector!$B$3:$D$30,3,TRUE))</f>
        <v>-</v>
      </c>
      <c r="D275" s="16"/>
      <c r="E275" s="29"/>
      <c r="F275" s="21"/>
      <c r="G275" s="35"/>
      <c r="H275" s="25"/>
      <c r="I275" s="19"/>
      <c r="J275" s="18"/>
      <c r="K275" s="33"/>
      <c r="L275" s="23"/>
      <c r="M275" s="31"/>
      <c r="N275" s="27"/>
      <c r="O275" s="14" t="str">
        <f>IF(P275="","-",VLOOKUP(P275,AgentSector!$B$3:$D$30,3,TRUE))</f>
        <v>-</v>
      </c>
      <c r="P275" s="4"/>
    </row>
    <row r="276" spans="2:16">
      <c r="B276" s="4"/>
      <c r="C276" s="12" t="str">
        <f>IF(B276="","-",VLOOKUP(B276,AgentSector!$B$3:$D$30,3,TRUE))</f>
        <v>-</v>
      </c>
      <c r="D276" s="16"/>
      <c r="E276" s="29"/>
      <c r="F276" s="21"/>
      <c r="G276" s="35"/>
      <c r="H276" s="25"/>
      <c r="I276" s="19"/>
      <c r="J276" s="18"/>
      <c r="K276" s="33"/>
      <c r="L276" s="23"/>
      <c r="M276" s="31"/>
      <c r="N276" s="27"/>
      <c r="O276" s="14" t="str">
        <f>IF(P276="","-",VLOOKUP(P276,AgentSector!$B$3:$D$30,3,TRUE))</f>
        <v>-</v>
      </c>
      <c r="P276" s="4"/>
    </row>
    <row r="277" spans="2:16">
      <c r="B277" s="4"/>
      <c r="C277" s="12" t="str">
        <f>IF(B277="","-",VLOOKUP(B277,AgentSector!$B$3:$D$30,3,TRUE))</f>
        <v>-</v>
      </c>
      <c r="D277" s="16"/>
      <c r="E277" s="29"/>
      <c r="F277" s="21"/>
      <c r="G277" s="35"/>
      <c r="H277" s="25"/>
      <c r="I277" s="19"/>
      <c r="J277" s="18"/>
      <c r="K277" s="33"/>
      <c r="L277" s="23"/>
      <c r="M277" s="31"/>
      <c r="N277" s="27"/>
      <c r="O277" s="14" t="str">
        <f>IF(P277="","-",VLOOKUP(P277,AgentSector!$B$3:$D$30,3,TRUE))</f>
        <v>-</v>
      </c>
      <c r="P277" s="4"/>
    </row>
    <row r="278" spans="2:16">
      <c r="B278" s="4"/>
      <c r="C278" s="12" t="str">
        <f>IF(B278="","-",VLOOKUP(B278,AgentSector!$B$3:$D$30,3,TRUE))</f>
        <v>-</v>
      </c>
      <c r="D278" s="16"/>
      <c r="E278" s="29"/>
      <c r="F278" s="21"/>
      <c r="G278" s="35"/>
      <c r="H278" s="25"/>
      <c r="I278" s="19"/>
      <c r="J278" s="18"/>
      <c r="K278" s="33"/>
      <c r="L278" s="23"/>
      <c r="M278" s="31"/>
      <c r="N278" s="27"/>
      <c r="O278" s="14" t="str">
        <f>IF(P278="","-",VLOOKUP(P278,AgentSector!$B$3:$D$30,3,TRUE))</f>
        <v>-</v>
      </c>
      <c r="P278" s="4"/>
    </row>
    <row r="279" spans="2:16">
      <c r="B279" s="4"/>
      <c r="C279" s="12" t="str">
        <f>IF(B279="","-",VLOOKUP(B279,AgentSector!$B$3:$D$30,3,TRUE))</f>
        <v>-</v>
      </c>
      <c r="D279" s="16"/>
      <c r="E279" s="29"/>
      <c r="F279" s="21"/>
      <c r="G279" s="35"/>
      <c r="H279" s="25"/>
      <c r="I279" s="19"/>
      <c r="J279" s="18"/>
      <c r="K279" s="33"/>
      <c r="L279" s="23"/>
      <c r="M279" s="31"/>
      <c r="N279" s="27"/>
      <c r="O279" s="14" t="str">
        <f>IF(P279="","-",VLOOKUP(P279,AgentSector!$B$3:$D$30,3,TRUE))</f>
        <v>-</v>
      </c>
      <c r="P279" s="4"/>
    </row>
    <row r="280" spans="2:16">
      <c r="B280" s="4"/>
      <c r="C280" s="12" t="str">
        <f>IF(B280="","-",VLOOKUP(B280,AgentSector!$B$3:$D$30,3,TRUE))</f>
        <v>-</v>
      </c>
      <c r="D280" s="16"/>
      <c r="E280" s="29"/>
      <c r="F280" s="21"/>
      <c r="G280" s="35"/>
      <c r="H280" s="25"/>
      <c r="I280" s="19"/>
      <c r="J280" s="18"/>
      <c r="K280" s="33"/>
      <c r="L280" s="23"/>
      <c r="M280" s="31"/>
      <c r="N280" s="27"/>
      <c r="O280" s="14" t="str">
        <f>IF(P280="","-",VLOOKUP(P280,AgentSector!$B$3:$D$30,3,TRUE))</f>
        <v>-</v>
      </c>
      <c r="P280" s="4"/>
    </row>
    <row r="281" spans="2:16">
      <c r="B281" s="4"/>
      <c r="C281" s="12" t="str">
        <f>IF(B281="","-",VLOOKUP(B281,AgentSector!$B$3:$D$30,3,TRUE))</f>
        <v>-</v>
      </c>
      <c r="D281" s="16"/>
      <c r="E281" s="29"/>
      <c r="F281" s="21"/>
      <c r="G281" s="35"/>
      <c r="H281" s="25"/>
      <c r="I281" s="19"/>
      <c r="J281" s="18"/>
      <c r="K281" s="33"/>
      <c r="L281" s="23"/>
      <c r="M281" s="31"/>
      <c r="N281" s="27"/>
      <c r="O281" s="14" t="str">
        <f>IF(P281="","-",VLOOKUP(P281,AgentSector!$B$3:$D$30,3,TRUE))</f>
        <v>-</v>
      </c>
      <c r="P281" s="4"/>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5121" r:id="rId4" name="FirstCom_FirstARtable">
          <controlPr defaultSize="0" autoLine="0" autoPict="0" r:id="rId5">
            <anchor moveWithCells="1">
              <from>
                <xdr:col>2</xdr:col>
                <xdr:colOff>352425</xdr:colOff>
                <xdr:row>0</xdr:row>
                <xdr:rowOff>228600</xdr:rowOff>
              </from>
              <to>
                <xdr:col>4</xdr:col>
                <xdr:colOff>1209675</xdr:colOff>
                <xdr:row>2</xdr:row>
                <xdr:rowOff>57150</xdr:rowOff>
              </to>
            </anchor>
          </controlPr>
        </control>
      </mc:Choice>
      <mc:Fallback>
        <control shapeId="5121" r:id="rId4" name="FirstCom_FirstARtabl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FFEE2D7-4C1B-46A0-805E-5C41CF615CD4}">
          <x14:formula1>
            <xm:f>AgentSector!$B$3:$B$15</xm:f>
          </x14:formula1>
          <xm:sqref>P6:P281 B6:B281</xm:sqref>
        </x14:dataValidation>
        <x14:dataValidation type="list" allowBlank="1" showInputMessage="1" showErrorMessage="1" xr:uid="{D6F3E531-3034-4134-B909-F8A102195C82}">
          <x14:formula1>
            <xm:f>FixTable!$B$3:$B$7</xm:f>
          </x14:formula1>
          <xm:sqref>J6:J281 N6:N281 D6:D281 H6:H281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11D41-9668-48F6-BA5D-1553365C47B4}">
  <sheetPr codeName="Sheet4"/>
  <dimension ref="A5:R270"/>
  <sheetViews>
    <sheetView topLeftCell="H19" zoomScale="130" zoomScaleNormal="130" workbookViewId="0">
      <selection activeCell="N25" sqref="N25"/>
    </sheetView>
  </sheetViews>
  <sheetFormatPr defaultRowHeight="18.75"/>
  <cols>
    <col min="2" max="2" width="5.875" bestFit="1" customWidth="1"/>
    <col min="6" max="8" width="17.25" customWidth="1"/>
    <col min="10" max="10" width="33" customWidth="1"/>
    <col min="12" max="14" width="17.25" customWidth="1"/>
    <col min="18" max="18" width="5.75" bestFit="1" customWidth="1"/>
  </cols>
  <sheetData>
    <row r="5" spans="1:18" ht="38.25" thickBot="1">
      <c r="A5" t="s">
        <v>26</v>
      </c>
      <c r="B5" s="5" t="s">
        <v>15</v>
      </c>
      <c r="C5" s="6" t="s">
        <v>7</v>
      </c>
      <c r="D5" s="5" t="s">
        <v>27</v>
      </c>
      <c r="E5" s="5" t="s">
        <v>9</v>
      </c>
      <c r="F5" s="5" t="s">
        <v>8</v>
      </c>
      <c r="G5" s="6" t="s">
        <v>10</v>
      </c>
      <c r="H5" s="5" t="s">
        <v>11</v>
      </c>
      <c r="I5" s="5" t="s">
        <v>12</v>
      </c>
      <c r="J5" s="7" t="s">
        <v>13</v>
      </c>
      <c r="K5" s="5" t="s">
        <v>9</v>
      </c>
      <c r="L5" s="5" t="s">
        <v>8</v>
      </c>
      <c r="M5" s="6" t="s">
        <v>10</v>
      </c>
      <c r="N5" s="5" t="s">
        <v>11</v>
      </c>
      <c r="O5" s="5" t="s">
        <v>12</v>
      </c>
      <c r="P5" s="5" t="s">
        <v>27</v>
      </c>
      <c r="Q5" s="5" t="s">
        <v>14</v>
      </c>
      <c r="R5" s="5" t="s">
        <v>16</v>
      </c>
    </row>
    <row r="6" spans="1:18">
      <c r="A6">
        <v>1011</v>
      </c>
      <c r="B6" s="3">
        <v>1</v>
      </c>
      <c r="C6" s="3" t="s">
        <v>409</v>
      </c>
      <c r="D6" s="3">
        <v>101110</v>
      </c>
      <c r="E6" s="15" t="s">
        <v>18</v>
      </c>
      <c r="F6" s="28" t="s">
        <v>407</v>
      </c>
      <c r="G6" s="20" t="s">
        <v>422</v>
      </c>
      <c r="H6" s="34" t="s">
        <v>424</v>
      </c>
      <c r="I6" s="24" t="s">
        <v>53</v>
      </c>
      <c r="J6" s="120" t="s">
        <v>422</v>
      </c>
      <c r="K6" s="17"/>
      <c r="L6" s="32"/>
      <c r="M6" s="22"/>
      <c r="N6" s="30"/>
      <c r="O6" s="26"/>
      <c r="P6" s="3"/>
      <c r="Q6" s="3" t="s">
        <v>28</v>
      </c>
      <c r="R6" s="3"/>
    </row>
    <row r="7" spans="1:18">
      <c r="A7">
        <v>1021</v>
      </c>
      <c r="B7" s="4">
        <v>1</v>
      </c>
      <c r="C7" s="4" t="s">
        <v>409</v>
      </c>
      <c r="D7" s="4">
        <v>102110</v>
      </c>
      <c r="E7" s="16" t="s">
        <v>18</v>
      </c>
      <c r="F7" s="29" t="s">
        <v>420</v>
      </c>
      <c r="G7" s="21" t="s">
        <v>437</v>
      </c>
      <c r="H7" s="35" t="s">
        <v>407</v>
      </c>
      <c r="I7" s="25" t="s">
        <v>18</v>
      </c>
      <c r="J7" s="121" t="s">
        <v>437</v>
      </c>
      <c r="K7" s="18"/>
      <c r="L7" s="33"/>
      <c r="M7" s="23"/>
      <c r="N7" s="31"/>
      <c r="O7" s="27"/>
      <c r="P7" s="4"/>
      <c r="Q7" s="4" t="s">
        <v>28</v>
      </c>
      <c r="R7" s="4"/>
    </row>
    <row r="8" spans="1:18">
      <c r="A8">
        <v>1031</v>
      </c>
      <c r="B8" s="4">
        <v>1</v>
      </c>
      <c r="C8" s="4" t="s">
        <v>409</v>
      </c>
      <c r="D8" s="4">
        <v>103110</v>
      </c>
      <c r="E8" s="16" t="s">
        <v>18</v>
      </c>
      <c r="F8" s="29" t="s">
        <v>407</v>
      </c>
      <c r="G8" s="21" t="s">
        <v>429</v>
      </c>
      <c r="H8" s="35" t="s">
        <v>420</v>
      </c>
      <c r="I8" s="25" t="s">
        <v>18</v>
      </c>
      <c r="J8" s="121" t="s">
        <v>426</v>
      </c>
      <c r="K8" s="18"/>
      <c r="L8" s="33"/>
      <c r="M8" s="23"/>
      <c r="N8" s="31"/>
      <c r="O8" s="27"/>
      <c r="P8" s="4"/>
      <c r="Q8" s="4" t="s">
        <v>28</v>
      </c>
      <c r="R8" s="4"/>
    </row>
    <row r="9" spans="1:18">
      <c r="A9">
        <v>1041</v>
      </c>
      <c r="B9" s="4">
        <v>40</v>
      </c>
      <c r="C9" s="4" t="s">
        <v>416</v>
      </c>
      <c r="D9" s="4">
        <v>104110</v>
      </c>
      <c r="E9" s="16" t="s">
        <v>18</v>
      </c>
      <c r="F9" s="29" t="s">
        <v>473</v>
      </c>
      <c r="G9" s="21" t="s">
        <v>435</v>
      </c>
      <c r="H9" s="35" t="s">
        <v>407</v>
      </c>
      <c r="I9" s="25" t="s">
        <v>18</v>
      </c>
      <c r="J9" s="121" t="s">
        <v>435</v>
      </c>
      <c r="K9" s="18"/>
      <c r="L9" s="33"/>
      <c r="M9" s="23"/>
      <c r="N9" s="31"/>
      <c r="O9" s="27"/>
      <c r="P9" s="4"/>
      <c r="Q9" s="4" t="s">
        <v>28</v>
      </c>
      <c r="R9" s="4"/>
    </row>
    <row r="10" spans="1:18">
      <c r="A10">
        <v>1051</v>
      </c>
      <c r="B10" s="4">
        <v>40</v>
      </c>
      <c r="C10" s="4" t="s">
        <v>416</v>
      </c>
      <c r="D10" s="4">
        <v>105110</v>
      </c>
      <c r="E10" s="16" t="s">
        <v>18</v>
      </c>
      <c r="F10" s="29" t="s">
        <v>427</v>
      </c>
      <c r="G10" s="21" t="s">
        <v>431</v>
      </c>
      <c r="H10" s="35" t="s">
        <v>407</v>
      </c>
      <c r="I10" s="25" t="s">
        <v>18</v>
      </c>
      <c r="J10" s="121" t="s">
        <v>577</v>
      </c>
      <c r="K10" s="18"/>
      <c r="L10" s="33"/>
      <c r="M10" s="23"/>
      <c r="N10" s="31"/>
      <c r="O10" s="27"/>
      <c r="P10" s="4"/>
      <c r="Q10" s="4" t="s">
        <v>28</v>
      </c>
      <c r="R10" s="4"/>
    </row>
    <row r="11" spans="1:18">
      <c r="A11">
        <v>1061</v>
      </c>
      <c r="B11" s="4">
        <v>20</v>
      </c>
      <c r="C11" s="4" t="s">
        <v>412</v>
      </c>
      <c r="D11" s="4">
        <v>106110</v>
      </c>
      <c r="E11" s="16" t="s">
        <v>18</v>
      </c>
      <c r="F11" s="29" t="s">
        <v>433</v>
      </c>
      <c r="G11" s="21" t="s">
        <v>439</v>
      </c>
      <c r="H11" s="35" t="s">
        <v>407</v>
      </c>
      <c r="I11" s="25" t="s">
        <v>18</v>
      </c>
      <c r="J11" s="121" t="s">
        <v>439</v>
      </c>
      <c r="K11" s="18"/>
      <c r="L11" s="33"/>
      <c r="M11" s="23"/>
      <c r="N11" s="31"/>
      <c r="O11" s="27"/>
      <c r="P11" s="4"/>
      <c r="Q11" s="4" t="s">
        <v>28</v>
      </c>
      <c r="R11" s="4"/>
    </row>
    <row r="12" spans="1:18">
      <c r="A12">
        <v>1071</v>
      </c>
      <c r="B12" s="4">
        <v>20</v>
      </c>
      <c r="C12" s="4" t="s">
        <v>412</v>
      </c>
      <c r="D12" s="4">
        <v>107110</v>
      </c>
      <c r="E12" s="16" t="s">
        <v>18</v>
      </c>
      <c r="F12" s="29" t="s">
        <v>441</v>
      </c>
      <c r="G12" s="21" t="s">
        <v>443</v>
      </c>
      <c r="H12" s="35" t="s">
        <v>407</v>
      </c>
      <c r="I12" s="25" t="s">
        <v>18</v>
      </c>
      <c r="J12" s="121" t="s">
        <v>443</v>
      </c>
      <c r="K12" s="18"/>
      <c r="L12" s="33"/>
      <c r="M12" s="23"/>
      <c r="N12" s="31"/>
      <c r="O12" s="27"/>
      <c r="P12" s="4"/>
      <c r="Q12" s="4" t="s">
        <v>28</v>
      </c>
      <c r="R12" s="4"/>
    </row>
    <row r="13" spans="1:18">
      <c r="A13">
        <v>1081</v>
      </c>
      <c r="B13" s="4">
        <v>90</v>
      </c>
      <c r="C13" s="4" t="s">
        <v>418</v>
      </c>
      <c r="D13" s="4">
        <v>108110</v>
      </c>
      <c r="E13" s="16" t="s">
        <v>18</v>
      </c>
      <c r="F13" s="29" t="s">
        <v>445</v>
      </c>
      <c r="G13" s="21" t="s">
        <v>447</v>
      </c>
      <c r="H13" s="35" t="s">
        <v>407</v>
      </c>
      <c r="I13" s="25" t="s">
        <v>18</v>
      </c>
      <c r="J13" s="121" t="s">
        <v>447</v>
      </c>
      <c r="K13" s="18"/>
      <c r="L13" s="33"/>
      <c r="M13" s="23"/>
      <c r="N13" s="31"/>
      <c r="O13" s="27"/>
      <c r="P13" s="4"/>
      <c r="Q13" s="4" t="s">
        <v>28</v>
      </c>
      <c r="R13" s="4"/>
    </row>
    <row r="14" spans="1:18">
      <c r="A14">
        <v>1091</v>
      </c>
      <c r="B14" s="4">
        <v>90</v>
      </c>
      <c r="C14" s="4" t="s">
        <v>418</v>
      </c>
      <c r="D14" s="4">
        <v>109110</v>
      </c>
      <c r="E14" s="16" t="s">
        <v>18</v>
      </c>
      <c r="F14" s="29" t="s">
        <v>449</v>
      </c>
      <c r="G14" s="21" t="s">
        <v>451</v>
      </c>
      <c r="H14" s="35" t="s">
        <v>407</v>
      </c>
      <c r="I14" s="25" t="s">
        <v>18</v>
      </c>
      <c r="J14" s="121" t="s">
        <v>451</v>
      </c>
      <c r="K14" s="18"/>
      <c r="L14" s="33"/>
      <c r="M14" s="23"/>
      <c r="N14" s="31"/>
      <c r="O14" s="27"/>
      <c r="P14" s="4"/>
      <c r="Q14" s="4" t="s">
        <v>28</v>
      </c>
      <c r="R14" s="4"/>
    </row>
    <row r="15" spans="1:18">
      <c r="A15">
        <v>1101</v>
      </c>
      <c r="B15" s="4">
        <v>1</v>
      </c>
      <c r="C15" s="4" t="s">
        <v>409</v>
      </c>
      <c r="D15" s="4">
        <v>110110</v>
      </c>
      <c r="E15" s="16" t="s">
        <v>18</v>
      </c>
      <c r="F15" s="29" t="s">
        <v>497</v>
      </c>
      <c r="G15" s="21" t="s">
        <v>453</v>
      </c>
      <c r="H15" s="35" t="s">
        <v>407</v>
      </c>
      <c r="I15" s="25" t="s">
        <v>18</v>
      </c>
      <c r="J15" s="121" t="s">
        <v>453</v>
      </c>
      <c r="K15" s="18"/>
      <c r="L15" s="33"/>
      <c r="M15" s="23"/>
      <c r="N15" s="31"/>
      <c r="O15" s="27"/>
      <c r="P15" s="4"/>
      <c r="Q15" s="4" t="s">
        <v>28</v>
      </c>
      <c r="R15" s="4"/>
    </row>
    <row r="16" spans="1:18">
      <c r="A16">
        <v>1111</v>
      </c>
      <c r="B16" s="4">
        <v>90</v>
      </c>
      <c r="C16" s="4" t="s">
        <v>418</v>
      </c>
      <c r="D16" s="4">
        <v>111110</v>
      </c>
      <c r="E16" s="16" t="s">
        <v>18</v>
      </c>
      <c r="F16" s="29" t="s">
        <v>420</v>
      </c>
      <c r="G16" s="21" t="s">
        <v>455</v>
      </c>
      <c r="H16" s="35" t="s">
        <v>445</v>
      </c>
      <c r="I16" s="25" t="s">
        <v>18</v>
      </c>
      <c r="J16" s="121" t="s">
        <v>455</v>
      </c>
      <c r="K16" s="18"/>
      <c r="L16" s="33"/>
      <c r="M16" s="23"/>
      <c r="N16" s="31"/>
      <c r="O16" s="27"/>
      <c r="P16" s="4"/>
      <c r="Q16" s="4" t="s">
        <v>28</v>
      </c>
      <c r="R16" s="4"/>
    </row>
    <row r="17" spans="1:18">
      <c r="A17">
        <v>1121</v>
      </c>
      <c r="B17" s="4">
        <v>20</v>
      </c>
      <c r="C17" s="4" t="s">
        <v>412</v>
      </c>
      <c r="D17" s="4">
        <v>112110</v>
      </c>
      <c r="E17" s="16" t="s">
        <v>23</v>
      </c>
      <c r="F17" s="29" t="s">
        <v>458</v>
      </c>
      <c r="G17" s="21" t="s">
        <v>461</v>
      </c>
      <c r="H17" s="29" t="s">
        <v>459</v>
      </c>
      <c r="I17" s="25" t="s">
        <v>20</v>
      </c>
      <c r="J17" s="121" t="s">
        <v>461</v>
      </c>
      <c r="K17" s="18"/>
      <c r="L17" s="33"/>
      <c r="M17" s="23"/>
      <c r="N17" s="31"/>
      <c r="O17" s="27"/>
      <c r="P17" s="4"/>
      <c r="Q17" s="4" t="s">
        <v>28</v>
      </c>
      <c r="R17" s="4"/>
    </row>
    <row r="18" spans="1:18">
      <c r="A18">
        <v>1131</v>
      </c>
      <c r="B18" s="4">
        <v>20</v>
      </c>
      <c r="C18" s="4" t="s">
        <v>412</v>
      </c>
      <c r="D18" s="4">
        <v>113110</v>
      </c>
      <c r="E18" s="16" t="s">
        <v>23</v>
      </c>
      <c r="F18" s="29" t="s">
        <v>463</v>
      </c>
      <c r="G18" s="21" t="s">
        <v>465</v>
      </c>
      <c r="H18" s="35" t="s">
        <v>457</v>
      </c>
      <c r="I18" s="25" t="s">
        <v>23</v>
      </c>
      <c r="J18" s="121" t="s">
        <v>465</v>
      </c>
      <c r="K18" s="18"/>
      <c r="L18" s="33"/>
      <c r="M18" s="23"/>
      <c r="N18" s="31"/>
      <c r="O18" s="27"/>
      <c r="P18" s="4"/>
      <c r="Q18" s="4" t="s">
        <v>28</v>
      </c>
      <c r="R18" s="4"/>
    </row>
    <row r="19" spans="1:18">
      <c r="A19">
        <v>1141</v>
      </c>
      <c r="B19" s="4">
        <v>20</v>
      </c>
      <c r="C19" s="4" t="s">
        <v>412</v>
      </c>
      <c r="D19" s="4">
        <v>114110</v>
      </c>
      <c r="E19" s="16" t="s">
        <v>18</v>
      </c>
      <c r="F19" s="29" t="s">
        <v>467</v>
      </c>
      <c r="G19" s="21" t="s">
        <v>469</v>
      </c>
      <c r="H19" s="29" t="s">
        <v>463</v>
      </c>
      <c r="I19" s="25" t="s">
        <v>23</v>
      </c>
      <c r="J19" s="121" t="s">
        <v>469</v>
      </c>
      <c r="K19" s="18"/>
      <c r="L19" s="33"/>
      <c r="M19" s="23"/>
      <c r="N19" s="31"/>
      <c r="O19" s="27"/>
      <c r="P19" s="4"/>
      <c r="Q19" s="4" t="s">
        <v>28</v>
      </c>
      <c r="R19" s="4"/>
    </row>
    <row r="20" spans="1:18">
      <c r="A20">
        <v>1151</v>
      </c>
      <c r="B20" s="4">
        <v>40</v>
      </c>
      <c r="C20" s="4" t="s">
        <v>416</v>
      </c>
      <c r="D20" s="4">
        <v>115110</v>
      </c>
      <c r="E20" s="16" t="s">
        <v>20</v>
      </c>
      <c r="F20" s="29" t="s">
        <v>459</v>
      </c>
      <c r="G20" s="21" t="s">
        <v>471</v>
      </c>
      <c r="H20" s="35" t="s">
        <v>473</v>
      </c>
      <c r="I20" s="25" t="s">
        <v>18</v>
      </c>
      <c r="J20" s="121" t="s">
        <v>471</v>
      </c>
      <c r="K20" s="18" t="s">
        <v>18</v>
      </c>
      <c r="L20" s="33" t="s">
        <v>407</v>
      </c>
      <c r="M20" s="23" t="s">
        <v>477</v>
      </c>
      <c r="N20" s="31" t="s">
        <v>480</v>
      </c>
      <c r="O20" s="27" t="s">
        <v>54</v>
      </c>
      <c r="P20" s="4">
        <v>115101</v>
      </c>
      <c r="Q20" s="4" t="s">
        <v>410</v>
      </c>
      <c r="R20" s="4">
        <v>10</v>
      </c>
    </row>
    <row r="21" spans="1:18">
      <c r="A21">
        <v>1161</v>
      </c>
      <c r="B21" s="4">
        <v>40</v>
      </c>
      <c r="C21" s="4" t="s">
        <v>416</v>
      </c>
      <c r="D21" s="4">
        <v>116110</v>
      </c>
      <c r="E21" s="16" t="s">
        <v>20</v>
      </c>
      <c r="F21" s="29" t="s">
        <v>485</v>
      </c>
      <c r="G21" s="21" t="s">
        <v>475</v>
      </c>
      <c r="H21" s="35" t="s">
        <v>427</v>
      </c>
      <c r="I21" s="25" t="s">
        <v>18</v>
      </c>
      <c r="J21" s="121" t="s">
        <v>475</v>
      </c>
      <c r="K21" s="18" t="s">
        <v>18</v>
      </c>
      <c r="L21" s="33" t="s">
        <v>407</v>
      </c>
      <c r="M21" s="23" t="s">
        <v>481</v>
      </c>
      <c r="N21" s="31" t="s">
        <v>484</v>
      </c>
      <c r="O21" s="27" t="s">
        <v>54</v>
      </c>
      <c r="P21" s="4">
        <v>116101</v>
      </c>
      <c r="Q21" s="4" t="s">
        <v>410</v>
      </c>
      <c r="R21" s="4">
        <v>10</v>
      </c>
    </row>
    <row r="22" spans="1:18">
      <c r="A22">
        <v>1171</v>
      </c>
      <c r="B22" s="4">
        <v>90</v>
      </c>
      <c r="C22" s="4" t="s">
        <v>418</v>
      </c>
      <c r="D22" s="4">
        <v>117110</v>
      </c>
      <c r="E22" s="16" t="s">
        <v>23</v>
      </c>
      <c r="F22" s="29" t="s">
        <v>575</v>
      </c>
      <c r="G22" s="21" t="s">
        <v>487</v>
      </c>
      <c r="H22" s="35" t="s">
        <v>449</v>
      </c>
      <c r="I22" s="25" t="s">
        <v>18</v>
      </c>
      <c r="J22" s="121" t="s">
        <v>487</v>
      </c>
      <c r="K22" s="18" t="s">
        <v>18</v>
      </c>
      <c r="L22" s="33" t="s">
        <v>407</v>
      </c>
      <c r="M22" s="23" t="s">
        <v>489</v>
      </c>
      <c r="N22" s="31" t="s">
        <v>492</v>
      </c>
      <c r="O22" s="27" t="s">
        <v>54</v>
      </c>
      <c r="P22" s="4">
        <v>117101</v>
      </c>
      <c r="Q22" s="4" t="s">
        <v>412</v>
      </c>
      <c r="R22" s="4">
        <v>20</v>
      </c>
    </row>
    <row r="23" spans="1:18">
      <c r="A23">
        <v>1181</v>
      </c>
      <c r="B23" s="4">
        <v>20</v>
      </c>
      <c r="C23" s="4" t="s">
        <v>412</v>
      </c>
      <c r="D23" s="4">
        <v>118110</v>
      </c>
      <c r="E23" s="16" t="s">
        <v>20</v>
      </c>
      <c r="F23" s="29" t="s">
        <v>495</v>
      </c>
      <c r="G23" s="21" t="s">
        <v>493</v>
      </c>
      <c r="H23" s="35" t="s">
        <v>497</v>
      </c>
      <c r="I23" s="25" t="s">
        <v>18</v>
      </c>
      <c r="J23" s="121" t="s">
        <v>493</v>
      </c>
      <c r="K23" s="18" t="s">
        <v>18</v>
      </c>
      <c r="L23" s="33" t="s">
        <v>407</v>
      </c>
      <c r="M23" s="23" t="s">
        <v>507</v>
      </c>
      <c r="N23" s="31" t="s">
        <v>510</v>
      </c>
      <c r="O23" s="27" t="s">
        <v>54</v>
      </c>
      <c r="P23" s="4">
        <v>118101</v>
      </c>
      <c r="Q23" s="4" t="s">
        <v>418</v>
      </c>
      <c r="R23" s="4">
        <v>90</v>
      </c>
    </row>
    <row r="24" spans="1:18">
      <c r="A24">
        <v>1191</v>
      </c>
      <c r="B24" s="4">
        <v>10</v>
      </c>
      <c r="C24" s="4" t="s">
        <v>410</v>
      </c>
      <c r="D24" s="4">
        <v>119110</v>
      </c>
      <c r="E24" s="16" t="s">
        <v>20</v>
      </c>
      <c r="F24" s="29" t="s">
        <v>499</v>
      </c>
      <c r="G24" s="21" t="s">
        <v>501</v>
      </c>
      <c r="H24" s="35" t="s">
        <v>497</v>
      </c>
      <c r="I24" s="25" t="s">
        <v>18</v>
      </c>
      <c r="J24" s="121" t="s">
        <v>578</v>
      </c>
      <c r="K24" s="18" t="s">
        <v>18</v>
      </c>
      <c r="L24" s="33" t="s">
        <v>407</v>
      </c>
      <c r="M24" s="23" t="s">
        <v>503</v>
      </c>
      <c r="N24" s="31" t="s">
        <v>506</v>
      </c>
      <c r="O24" s="27" t="s">
        <v>54</v>
      </c>
      <c r="P24" s="4">
        <v>119101</v>
      </c>
      <c r="Q24" s="4" t="s">
        <v>418</v>
      </c>
      <c r="R24" s="4">
        <v>90</v>
      </c>
    </row>
    <row r="25" spans="1:18">
      <c r="A25">
        <v>1201</v>
      </c>
      <c r="B25" s="4">
        <v>20</v>
      </c>
      <c r="C25" s="4" t="s">
        <v>412</v>
      </c>
      <c r="D25" s="4">
        <v>120110</v>
      </c>
      <c r="E25" s="16" t="s">
        <v>18</v>
      </c>
      <c r="F25" s="29" t="s">
        <v>407</v>
      </c>
      <c r="G25" s="21" t="s">
        <v>511</v>
      </c>
      <c r="H25" s="35" t="s">
        <v>513</v>
      </c>
      <c r="I25" s="25" t="s">
        <v>20</v>
      </c>
      <c r="J25" s="121" t="s">
        <v>511</v>
      </c>
      <c r="K25" s="18" t="s">
        <v>18</v>
      </c>
      <c r="L25" s="33" t="s">
        <v>531</v>
      </c>
      <c r="M25" s="23" t="s">
        <v>535</v>
      </c>
      <c r="N25" s="31" t="s">
        <v>407</v>
      </c>
      <c r="O25" s="27" t="s">
        <v>18</v>
      </c>
      <c r="P25" s="4">
        <v>120101</v>
      </c>
      <c r="Q25" s="4" t="s">
        <v>414</v>
      </c>
      <c r="R25" s="4">
        <v>30</v>
      </c>
    </row>
    <row r="26" spans="1:18">
      <c r="A26">
        <v>1211</v>
      </c>
      <c r="B26" s="4">
        <v>20</v>
      </c>
      <c r="C26" s="4" t="s">
        <v>412</v>
      </c>
      <c r="D26" s="4">
        <v>121110</v>
      </c>
      <c r="E26" s="16" t="s">
        <v>18</v>
      </c>
      <c r="F26" s="29" t="s">
        <v>407</v>
      </c>
      <c r="G26" s="21" t="s">
        <v>525</v>
      </c>
      <c r="H26" s="35" t="s">
        <v>523</v>
      </c>
      <c r="I26" s="25" t="s">
        <v>20</v>
      </c>
      <c r="J26" s="121" t="s">
        <v>525</v>
      </c>
      <c r="K26" s="18" t="s">
        <v>18</v>
      </c>
      <c r="L26" s="33" t="s">
        <v>533</v>
      </c>
      <c r="M26" s="23" t="s">
        <v>537</v>
      </c>
      <c r="N26" s="31" t="s">
        <v>407</v>
      </c>
      <c r="O26" s="27" t="s">
        <v>18</v>
      </c>
      <c r="P26" s="4">
        <v>121101</v>
      </c>
      <c r="Q26" s="4" t="s">
        <v>414</v>
      </c>
      <c r="R26" s="4">
        <v>30</v>
      </c>
    </row>
    <row r="27" spans="1:18">
      <c r="A27">
        <v>1221</v>
      </c>
      <c r="B27" s="4">
        <v>20</v>
      </c>
      <c r="C27" s="4" t="s">
        <v>412</v>
      </c>
      <c r="D27" s="4">
        <v>122110</v>
      </c>
      <c r="E27" s="16" t="s">
        <v>23</v>
      </c>
      <c r="F27" s="29" t="s">
        <v>515</v>
      </c>
      <c r="G27" s="21" t="s">
        <v>517</v>
      </c>
      <c r="H27" s="35" t="s">
        <v>407</v>
      </c>
      <c r="I27" s="25" t="s">
        <v>18</v>
      </c>
      <c r="J27" s="121" t="s">
        <v>517</v>
      </c>
      <c r="K27" s="18" t="s">
        <v>18</v>
      </c>
      <c r="L27" s="33" t="s">
        <v>407</v>
      </c>
      <c r="M27" s="23" t="s">
        <v>519</v>
      </c>
      <c r="N27" s="31" t="s">
        <v>521</v>
      </c>
      <c r="O27" s="27" t="s">
        <v>54</v>
      </c>
      <c r="P27" s="4">
        <v>122101</v>
      </c>
      <c r="Q27" s="4" t="s">
        <v>414</v>
      </c>
      <c r="R27" s="4">
        <v>30</v>
      </c>
    </row>
    <row r="28" spans="1:18">
      <c r="A28">
        <v>1231</v>
      </c>
      <c r="B28" s="4">
        <v>20</v>
      </c>
      <c r="C28" s="4" t="s">
        <v>412</v>
      </c>
      <c r="D28" s="4">
        <v>123110</v>
      </c>
      <c r="E28" s="16" t="s">
        <v>20</v>
      </c>
      <c r="F28" s="29" t="s">
        <v>513</v>
      </c>
      <c r="G28" s="21" t="s">
        <v>527</v>
      </c>
      <c r="H28" s="35" t="s">
        <v>433</v>
      </c>
      <c r="I28" s="25" t="s">
        <v>18</v>
      </c>
      <c r="J28" s="121" t="s">
        <v>527</v>
      </c>
      <c r="K28" s="18" t="s">
        <v>18</v>
      </c>
      <c r="L28" s="33" t="s">
        <v>407</v>
      </c>
      <c r="M28" s="23" t="s">
        <v>539</v>
      </c>
      <c r="N28" s="31" t="s">
        <v>531</v>
      </c>
      <c r="O28" s="27" t="s">
        <v>18</v>
      </c>
      <c r="P28" s="4">
        <v>123101</v>
      </c>
      <c r="Q28" s="4" t="s">
        <v>414</v>
      </c>
      <c r="R28" s="4">
        <v>30</v>
      </c>
    </row>
    <row r="29" spans="1:18">
      <c r="A29">
        <v>1241</v>
      </c>
      <c r="B29" s="4">
        <v>20</v>
      </c>
      <c r="C29" s="4" t="s">
        <v>412</v>
      </c>
      <c r="D29" s="4">
        <v>124110</v>
      </c>
      <c r="E29" s="16" t="s">
        <v>20</v>
      </c>
      <c r="F29" s="29" t="s">
        <v>523</v>
      </c>
      <c r="G29" s="21" t="s">
        <v>529</v>
      </c>
      <c r="H29" s="35" t="s">
        <v>433</v>
      </c>
      <c r="I29" s="25" t="s">
        <v>18</v>
      </c>
      <c r="J29" s="121" t="s">
        <v>529</v>
      </c>
      <c r="K29" s="18" t="s">
        <v>18</v>
      </c>
      <c r="L29" s="33" t="s">
        <v>407</v>
      </c>
      <c r="M29" s="23" t="s">
        <v>541</v>
      </c>
      <c r="N29" s="31" t="s">
        <v>533</v>
      </c>
      <c r="O29" s="27" t="s">
        <v>18</v>
      </c>
      <c r="P29" s="4">
        <v>124101</v>
      </c>
      <c r="Q29" s="4" t="s">
        <v>414</v>
      </c>
      <c r="R29" s="4">
        <v>30</v>
      </c>
    </row>
    <row r="30" spans="1:18">
      <c r="A30">
        <v>1251</v>
      </c>
      <c r="B30" s="4">
        <v>1</v>
      </c>
      <c r="C30" s="4" t="s">
        <v>409</v>
      </c>
      <c r="D30" s="4">
        <v>125110</v>
      </c>
      <c r="E30" s="16" t="s">
        <v>18</v>
      </c>
      <c r="F30" s="29" t="s">
        <v>543</v>
      </c>
      <c r="G30" s="21" t="s">
        <v>545</v>
      </c>
      <c r="H30" s="35" t="s">
        <v>407</v>
      </c>
      <c r="I30" s="25" t="s">
        <v>18</v>
      </c>
      <c r="J30" s="121" t="s">
        <v>545</v>
      </c>
      <c r="K30" s="18" t="s">
        <v>18</v>
      </c>
      <c r="L30" s="33" t="s">
        <v>407</v>
      </c>
      <c r="M30" s="23" t="s">
        <v>549</v>
      </c>
      <c r="N30" s="31" t="s">
        <v>547</v>
      </c>
      <c r="O30" s="27" t="s">
        <v>20</v>
      </c>
      <c r="P30" s="4">
        <v>125101</v>
      </c>
      <c r="Q30" s="4" t="s">
        <v>414</v>
      </c>
      <c r="R30" s="4">
        <v>30</v>
      </c>
    </row>
    <row r="31" spans="1:18">
      <c r="A31">
        <v>1261</v>
      </c>
      <c r="B31" s="4">
        <v>1</v>
      </c>
      <c r="C31" s="4" t="s">
        <v>409</v>
      </c>
      <c r="D31" s="4">
        <v>126110</v>
      </c>
      <c r="E31" s="16" t="s">
        <v>18</v>
      </c>
      <c r="F31" s="29" t="s">
        <v>407</v>
      </c>
      <c r="G31" s="21" t="s">
        <v>551</v>
      </c>
      <c r="H31" s="35" t="s">
        <v>543</v>
      </c>
      <c r="I31" s="25" t="s">
        <v>18</v>
      </c>
      <c r="J31" s="121" t="s">
        <v>551</v>
      </c>
      <c r="K31" s="18" t="s">
        <v>20</v>
      </c>
      <c r="L31" s="33" t="s">
        <v>547</v>
      </c>
      <c r="M31" s="23" t="s">
        <v>551</v>
      </c>
      <c r="N31" s="31" t="s">
        <v>407</v>
      </c>
      <c r="O31" s="27" t="s">
        <v>18</v>
      </c>
      <c r="P31" s="4">
        <v>126101</v>
      </c>
      <c r="Q31" s="4" t="s">
        <v>414</v>
      </c>
      <c r="R31" s="4">
        <v>30</v>
      </c>
    </row>
    <row r="32" spans="1:18">
      <c r="A32">
        <v>1271</v>
      </c>
      <c r="B32" s="4">
        <v>30</v>
      </c>
      <c r="C32" s="4" t="s">
        <v>414</v>
      </c>
      <c r="D32" s="4">
        <v>127110</v>
      </c>
      <c r="E32" s="16" t="s">
        <v>23</v>
      </c>
      <c r="F32" s="29" t="s">
        <v>554</v>
      </c>
      <c r="G32" s="21" t="s">
        <v>555</v>
      </c>
      <c r="H32" s="35" t="s">
        <v>407</v>
      </c>
      <c r="I32" s="25" t="s">
        <v>18</v>
      </c>
      <c r="J32" s="121" t="s">
        <v>555</v>
      </c>
      <c r="K32" s="18" t="s">
        <v>18</v>
      </c>
      <c r="L32" s="33" t="s">
        <v>407</v>
      </c>
      <c r="M32" s="23" t="s">
        <v>557</v>
      </c>
      <c r="N32" s="31" t="s">
        <v>560</v>
      </c>
      <c r="O32" s="27" t="s">
        <v>54</v>
      </c>
      <c r="P32" s="4">
        <v>127101</v>
      </c>
      <c r="Q32" s="4" t="s">
        <v>409</v>
      </c>
      <c r="R32" s="4">
        <v>1</v>
      </c>
    </row>
    <row r="33" spans="1:18">
      <c r="A33">
        <v>1281</v>
      </c>
      <c r="B33" s="4">
        <v>90</v>
      </c>
      <c r="C33" s="4" t="s">
        <v>418</v>
      </c>
      <c r="D33" s="4">
        <v>128110</v>
      </c>
      <c r="E33" s="16" t="s">
        <v>23</v>
      </c>
      <c r="F33" s="29" t="s">
        <v>562</v>
      </c>
      <c r="G33" s="21" t="s">
        <v>563</v>
      </c>
      <c r="H33" s="35" t="s">
        <v>420</v>
      </c>
      <c r="I33" s="25" t="s">
        <v>18</v>
      </c>
      <c r="J33" s="121" t="s">
        <v>572</v>
      </c>
      <c r="K33" s="18" t="s">
        <v>23</v>
      </c>
      <c r="L33" s="33" t="s">
        <v>565</v>
      </c>
      <c r="M33" s="23" t="s">
        <v>573</v>
      </c>
      <c r="N33" s="31" t="s">
        <v>468</v>
      </c>
      <c r="O33" s="27" t="s">
        <v>18</v>
      </c>
      <c r="P33" s="4">
        <v>128101</v>
      </c>
      <c r="Q33" s="4" t="s">
        <v>412</v>
      </c>
      <c r="R33" s="4">
        <v>20</v>
      </c>
    </row>
    <row r="34" spans="1:18">
      <c r="A34">
        <v>1282</v>
      </c>
      <c r="B34" s="4"/>
      <c r="C34" s="4" t="s">
        <v>28</v>
      </c>
      <c r="D34" s="4"/>
      <c r="E34" s="16"/>
      <c r="F34" s="29"/>
      <c r="G34" s="21"/>
      <c r="H34" s="35"/>
      <c r="I34" s="25"/>
      <c r="J34" s="19"/>
      <c r="K34" s="18" t="s">
        <v>18</v>
      </c>
      <c r="L34" s="33" t="s">
        <v>407</v>
      </c>
      <c r="M34" s="23" t="s">
        <v>573</v>
      </c>
      <c r="N34" s="31" t="s">
        <v>570</v>
      </c>
      <c r="O34" s="27" t="s">
        <v>54</v>
      </c>
      <c r="P34" s="4">
        <v>128202</v>
      </c>
      <c r="Q34" s="4" t="s">
        <v>412</v>
      </c>
      <c r="R34" s="4">
        <v>20</v>
      </c>
    </row>
    <row r="35" spans="1:18">
      <c r="A35">
        <v>1291</v>
      </c>
      <c r="B35" s="4">
        <v>10</v>
      </c>
      <c r="C35" s="4" t="s">
        <v>410</v>
      </c>
      <c r="D35" s="4">
        <v>128110</v>
      </c>
      <c r="E35" s="16" t="s">
        <v>23</v>
      </c>
      <c r="F35" s="29" t="s">
        <v>561</v>
      </c>
      <c r="G35" s="21" t="s">
        <v>563</v>
      </c>
      <c r="H35" s="35" t="s">
        <v>420</v>
      </c>
      <c r="I35" s="25" t="s">
        <v>18</v>
      </c>
      <c r="J35" s="121" t="s">
        <v>579</v>
      </c>
      <c r="K35" s="18" t="s">
        <v>23</v>
      </c>
      <c r="L35" s="33" t="s">
        <v>565</v>
      </c>
      <c r="M35" s="23" t="s">
        <v>573</v>
      </c>
      <c r="N35" s="31" t="s">
        <v>467</v>
      </c>
      <c r="O35" s="27" t="s">
        <v>18</v>
      </c>
      <c r="P35" s="4">
        <v>128101</v>
      </c>
      <c r="Q35" s="4" t="s">
        <v>412</v>
      </c>
      <c r="R35" s="4">
        <v>20</v>
      </c>
    </row>
    <row r="36" spans="1:18">
      <c r="A36">
        <v>1292</v>
      </c>
      <c r="B36" s="4"/>
      <c r="C36" s="4" t="s">
        <v>28</v>
      </c>
      <c r="D36" s="4"/>
      <c r="E36" s="16"/>
      <c r="F36" s="29"/>
      <c r="G36" s="21"/>
      <c r="H36" s="35"/>
      <c r="I36" s="25"/>
      <c r="J36" s="19"/>
      <c r="K36" s="18" t="s">
        <v>18</v>
      </c>
      <c r="L36" s="33" t="s">
        <v>407</v>
      </c>
      <c r="M36" s="23" t="s">
        <v>573</v>
      </c>
      <c r="N36" s="31" t="s">
        <v>567</v>
      </c>
      <c r="O36" s="27" t="s">
        <v>54</v>
      </c>
      <c r="P36" s="4">
        <v>129202</v>
      </c>
      <c r="Q36" s="4" t="s">
        <v>412</v>
      </c>
      <c r="R36" s="4">
        <v>20</v>
      </c>
    </row>
    <row r="37" spans="1:18">
      <c r="B37" s="4"/>
      <c r="C37" s="4"/>
      <c r="D37" s="4"/>
      <c r="E37" s="16"/>
      <c r="F37" s="29"/>
      <c r="G37" s="21"/>
      <c r="H37" s="35"/>
      <c r="I37" s="25"/>
      <c r="J37" s="19"/>
      <c r="K37" s="18"/>
      <c r="L37" s="33"/>
      <c r="M37" s="23"/>
      <c r="N37" s="31"/>
      <c r="O37" s="27"/>
      <c r="P37" s="4"/>
      <c r="Q37" s="4"/>
      <c r="R37" s="4"/>
    </row>
    <row r="38" spans="1:18">
      <c r="B38" s="4"/>
      <c r="C38" s="4"/>
      <c r="D38" s="4"/>
      <c r="E38" s="16"/>
      <c r="F38" s="29"/>
      <c r="G38" s="21"/>
      <c r="H38" s="35"/>
      <c r="I38" s="25"/>
      <c r="J38" s="19"/>
      <c r="K38" s="18"/>
      <c r="L38" s="33"/>
      <c r="M38" s="23"/>
      <c r="N38" s="31"/>
      <c r="O38" s="27"/>
      <c r="P38" s="4"/>
      <c r="Q38" s="4"/>
      <c r="R38" s="4"/>
    </row>
    <row r="39" spans="1:18">
      <c r="B39" s="4"/>
      <c r="C39" s="4"/>
      <c r="D39" s="4"/>
      <c r="E39" s="16"/>
      <c r="F39" s="29"/>
      <c r="G39" s="21"/>
      <c r="H39" s="35"/>
      <c r="I39" s="25"/>
      <c r="J39" s="19"/>
      <c r="K39" s="18"/>
      <c r="L39" s="33"/>
      <c r="M39" s="23"/>
      <c r="N39" s="31"/>
      <c r="O39" s="27"/>
      <c r="P39" s="4"/>
      <c r="Q39" s="4"/>
      <c r="R39" s="4"/>
    </row>
    <row r="40" spans="1:18">
      <c r="B40" s="4"/>
      <c r="C40" s="4"/>
      <c r="D40" s="4"/>
      <c r="E40" s="16"/>
      <c r="F40" s="29"/>
      <c r="G40" s="21"/>
      <c r="H40" s="35"/>
      <c r="I40" s="25"/>
      <c r="J40" s="19"/>
      <c r="K40" s="18"/>
      <c r="L40" s="33"/>
      <c r="M40" s="23"/>
      <c r="N40" s="31"/>
      <c r="O40" s="27"/>
      <c r="P40" s="4"/>
      <c r="Q40" s="4"/>
      <c r="R40" s="4"/>
    </row>
    <row r="41" spans="1:18">
      <c r="B41" s="4"/>
      <c r="C41" s="4"/>
      <c r="D41" s="4"/>
      <c r="E41" s="16"/>
      <c r="F41" s="29"/>
      <c r="G41" s="21"/>
      <c r="H41" s="35"/>
      <c r="I41" s="25"/>
      <c r="J41" s="19"/>
      <c r="K41" s="18"/>
      <c r="L41" s="33"/>
      <c r="M41" s="23"/>
      <c r="N41" s="31"/>
      <c r="O41" s="27"/>
      <c r="P41" s="4"/>
      <c r="Q41" s="4"/>
      <c r="R41" s="4"/>
    </row>
    <row r="42" spans="1:18">
      <c r="B42" s="4"/>
      <c r="C42" s="4"/>
      <c r="D42" s="4"/>
      <c r="E42" s="16"/>
      <c r="F42" s="29"/>
      <c r="G42" s="21"/>
      <c r="H42" s="35"/>
      <c r="I42" s="25"/>
      <c r="J42" s="19"/>
      <c r="K42" s="18"/>
      <c r="L42" s="33"/>
      <c r="M42" s="23"/>
      <c r="N42" s="31"/>
      <c r="O42" s="27"/>
      <c r="P42" s="4"/>
      <c r="Q42" s="4"/>
      <c r="R42" s="4"/>
    </row>
    <row r="43" spans="1:18">
      <c r="B43" s="4"/>
      <c r="C43" s="4"/>
      <c r="D43" s="4"/>
      <c r="E43" s="16"/>
      <c r="F43" s="29"/>
      <c r="G43" s="21"/>
      <c r="H43" s="35"/>
      <c r="I43" s="25"/>
      <c r="J43" s="19"/>
      <c r="K43" s="18"/>
      <c r="L43" s="33"/>
      <c r="M43" s="23"/>
      <c r="N43" s="31"/>
      <c r="O43" s="27"/>
      <c r="P43" s="4"/>
      <c r="Q43" s="4"/>
      <c r="R43" s="4"/>
    </row>
    <row r="44" spans="1:18">
      <c r="B44" s="4"/>
      <c r="C44" s="4"/>
      <c r="D44" s="4"/>
      <c r="E44" s="16"/>
      <c r="F44" s="29"/>
      <c r="G44" s="21"/>
      <c r="H44" s="35"/>
      <c r="I44" s="25"/>
      <c r="J44" s="19"/>
      <c r="K44" s="18"/>
      <c r="L44" s="33"/>
      <c r="M44" s="23"/>
      <c r="N44" s="31"/>
      <c r="O44" s="27"/>
      <c r="P44" s="4"/>
      <c r="Q44" s="4"/>
      <c r="R44" s="4"/>
    </row>
    <row r="45" spans="1:18">
      <c r="B45" s="4"/>
      <c r="C45" s="4"/>
      <c r="D45" s="4"/>
      <c r="E45" s="16"/>
      <c r="F45" s="29"/>
      <c r="G45" s="21"/>
      <c r="H45" s="35"/>
      <c r="I45" s="25"/>
      <c r="J45" s="19"/>
      <c r="K45" s="18"/>
      <c r="L45" s="33"/>
      <c r="M45" s="23"/>
      <c r="N45" s="31"/>
      <c r="O45" s="27"/>
      <c r="P45" s="4"/>
      <c r="Q45" s="4"/>
      <c r="R45" s="4"/>
    </row>
    <row r="46" spans="1:18">
      <c r="B46" s="4"/>
      <c r="C46" s="4"/>
      <c r="D46" s="4"/>
      <c r="E46" s="16"/>
      <c r="F46" s="29"/>
      <c r="G46" s="21"/>
      <c r="H46" s="35"/>
      <c r="I46" s="25"/>
      <c r="J46" s="19"/>
      <c r="K46" s="18"/>
      <c r="L46" s="33"/>
      <c r="M46" s="23"/>
      <c r="N46" s="31"/>
      <c r="O46" s="27"/>
      <c r="P46" s="4"/>
      <c r="Q46" s="4"/>
      <c r="R46" s="4"/>
    </row>
    <row r="47" spans="1:18">
      <c r="B47" s="4"/>
      <c r="C47" s="4"/>
      <c r="D47" s="4"/>
      <c r="E47" s="16"/>
      <c r="F47" s="29"/>
      <c r="G47" s="21"/>
      <c r="H47" s="35"/>
      <c r="I47" s="25"/>
      <c r="J47" s="19"/>
      <c r="K47" s="18"/>
      <c r="L47" s="33"/>
      <c r="M47" s="23"/>
      <c r="N47" s="31"/>
      <c r="O47" s="27"/>
      <c r="P47" s="4"/>
      <c r="Q47" s="4"/>
      <c r="R47" s="4"/>
    </row>
    <row r="48" spans="1:18">
      <c r="B48" s="4"/>
      <c r="C48" s="4"/>
      <c r="D48" s="4"/>
      <c r="E48" s="16"/>
      <c r="F48" s="29"/>
      <c r="G48" s="21"/>
      <c r="H48" s="35"/>
      <c r="I48" s="25"/>
      <c r="J48" s="19"/>
      <c r="K48" s="18"/>
      <c r="L48" s="33"/>
      <c r="M48" s="23"/>
      <c r="N48" s="31"/>
      <c r="O48" s="27"/>
      <c r="P48" s="4"/>
      <c r="Q48" s="4"/>
      <c r="R48" s="4"/>
    </row>
    <row r="49" spans="2:18">
      <c r="B49" s="4"/>
      <c r="C49" s="4"/>
      <c r="D49" s="4"/>
      <c r="E49" s="16"/>
      <c r="F49" s="29"/>
      <c r="G49" s="21"/>
      <c r="H49" s="35"/>
      <c r="I49" s="25"/>
      <c r="J49" s="19"/>
      <c r="K49" s="18"/>
      <c r="L49" s="33"/>
      <c r="M49" s="23"/>
      <c r="N49" s="31"/>
      <c r="O49" s="27"/>
      <c r="P49" s="4"/>
      <c r="Q49" s="4"/>
      <c r="R49" s="4"/>
    </row>
    <row r="50" spans="2:18">
      <c r="B50" s="4"/>
      <c r="C50" s="4"/>
      <c r="D50" s="4"/>
      <c r="E50" s="16"/>
      <c r="F50" s="29"/>
      <c r="G50" s="21"/>
      <c r="H50" s="35"/>
      <c r="I50" s="25"/>
      <c r="J50" s="19"/>
      <c r="K50" s="18"/>
      <c r="L50" s="33"/>
      <c r="M50" s="23"/>
      <c r="N50" s="31"/>
      <c r="O50" s="27"/>
      <c r="P50" s="4"/>
      <c r="Q50" s="4"/>
      <c r="R50" s="4"/>
    </row>
    <row r="51" spans="2:18">
      <c r="B51" s="4"/>
      <c r="C51" s="4"/>
      <c r="D51" s="4"/>
      <c r="E51" s="16"/>
      <c r="F51" s="29"/>
      <c r="G51" s="21"/>
      <c r="H51" s="35"/>
      <c r="I51" s="25"/>
      <c r="J51" s="19"/>
      <c r="K51" s="18"/>
      <c r="L51" s="33"/>
      <c r="M51" s="23"/>
      <c r="N51" s="31"/>
      <c r="O51" s="27"/>
      <c r="P51" s="4"/>
      <c r="Q51" s="4"/>
      <c r="R51" s="4"/>
    </row>
    <row r="52" spans="2:18">
      <c r="B52" s="4"/>
      <c r="C52" s="4"/>
      <c r="D52" s="4"/>
      <c r="E52" s="16"/>
      <c r="F52" s="29"/>
      <c r="G52" s="21"/>
      <c r="H52" s="35"/>
      <c r="I52" s="25"/>
      <c r="J52" s="19"/>
      <c r="K52" s="18"/>
      <c r="L52" s="33"/>
      <c r="M52" s="23"/>
      <c r="N52" s="31"/>
      <c r="O52" s="27"/>
      <c r="P52" s="4"/>
      <c r="Q52" s="4"/>
      <c r="R52" s="4"/>
    </row>
    <row r="53" spans="2:18">
      <c r="B53" s="4"/>
      <c r="C53" s="4"/>
      <c r="D53" s="4"/>
      <c r="E53" s="16"/>
      <c r="F53" s="29"/>
      <c r="G53" s="21"/>
      <c r="H53" s="35"/>
      <c r="I53" s="25"/>
      <c r="J53" s="19"/>
      <c r="K53" s="18"/>
      <c r="L53" s="33"/>
      <c r="M53" s="23"/>
      <c r="N53" s="31"/>
      <c r="O53" s="27"/>
      <c r="P53" s="4"/>
      <c r="Q53" s="4"/>
      <c r="R53" s="4"/>
    </row>
    <row r="54" spans="2:18">
      <c r="B54" s="4"/>
      <c r="C54" s="4"/>
      <c r="D54" s="4"/>
      <c r="E54" s="16"/>
      <c r="F54" s="29"/>
      <c r="G54" s="21"/>
      <c r="H54" s="35"/>
      <c r="I54" s="25"/>
      <c r="J54" s="19"/>
      <c r="K54" s="18"/>
      <c r="L54" s="33"/>
      <c r="M54" s="23"/>
      <c r="N54" s="31"/>
      <c r="O54" s="27"/>
      <c r="P54" s="4"/>
      <c r="Q54" s="4"/>
      <c r="R54" s="4"/>
    </row>
    <row r="55" spans="2:18">
      <c r="B55" s="4"/>
      <c r="C55" s="4"/>
      <c r="D55" s="4"/>
      <c r="E55" s="16"/>
      <c r="F55" s="29"/>
      <c r="G55" s="21"/>
      <c r="H55" s="35"/>
      <c r="I55" s="25"/>
      <c r="J55" s="19"/>
      <c r="K55" s="18"/>
      <c r="L55" s="33"/>
      <c r="M55" s="23"/>
      <c r="N55" s="31"/>
      <c r="O55" s="27"/>
      <c r="P55" s="4"/>
      <c r="Q55" s="4"/>
      <c r="R55" s="4"/>
    </row>
    <row r="56" spans="2:18">
      <c r="B56" s="4"/>
      <c r="C56" s="4"/>
      <c r="D56" s="4"/>
      <c r="E56" s="16"/>
      <c r="F56" s="29"/>
      <c r="G56" s="21"/>
      <c r="H56" s="35"/>
      <c r="I56" s="25"/>
      <c r="J56" s="19"/>
      <c r="K56" s="18"/>
      <c r="L56" s="33"/>
      <c r="M56" s="23"/>
      <c r="N56" s="31"/>
      <c r="O56" s="27"/>
      <c r="P56" s="4"/>
      <c r="Q56" s="4"/>
      <c r="R56" s="4"/>
    </row>
    <row r="57" spans="2:18">
      <c r="B57" s="4"/>
      <c r="C57" s="4"/>
      <c r="D57" s="4"/>
      <c r="E57" s="16"/>
      <c r="F57" s="29"/>
      <c r="G57" s="21"/>
      <c r="H57" s="35"/>
      <c r="I57" s="25"/>
      <c r="J57" s="19"/>
      <c r="K57" s="18"/>
      <c r="L57" s="33"/>
      <c r="M57" s="23"/>
      <c r="N57" s="31"/>
      <c r="O57" s="27"/>
      <c r="P57" s="4"/>
      <c r="Q57" s="4"/>
      <c r="R57" s="4"/>
    </row>
    <row r="58" spans="2:18">
      <c r="B58" s="4"/>
      <c r="C58" s="4"/>
      <c r="D58" s="4"/>
      <c r="E58" s="16"/>
      <c r="F58" s="29"/>
      <c r="G58" s="21"/>
      <c r="H58" s="35"/>
      <c r="I58" s="25"/>
      <c r="J58" s="19"/>
      <c r="K58" s="18"/>
      <c r="L58" s="33"/>
      <c r="M58" s="23"/>
      <c r="N58" s="31"/>
      <c r="O58" s="27"/>
      <c r="P58" s="4"/>
      <c r="Q58" s="4"/>
      <c r="R58" s="4"/>
    </row>
    <row r="59" spans="2:18">
      <c r="B59" s="4"/>
      <c r="C59" s="4"/>
      <c r="D59" s="4"/>
      <c r="E59" s="16"/>
      <c r="F59" s="29"/>
      <c r="G59" s="21"/>
      <c r="H59" s="35"/>
      <c r="I59" s="25"/>
      <c r="J59" s="19"/>
      <c r="K59" s="18"/>
      <c r="L59" s="33"/>
      <c r="M59" s="23"/>
      <c r="N59" s="31"/>
      <c r="O59" s="27"/>
      <c r="P59" s="4"/>
      <c r="Q59" s="4"/>
      <c r="R59" s="4"/>
    </row>
    <row r="60" spans="2:18">
      <c r="B60" s="4"/>
      <c r="C60" s="4"/>
      <c r="D60" s="4"/>
      <c r="E60" s="16"/>
      <c r="F60" s="29"/>
      <c r="G60" s="21"/>
      <c r="H60" s="35"/>
      <c r="I60" s="25"/>
      <c r="J60" s="19"/>
      <c r="K60" s="18"/>
      <c r="L60" s="33"/>
      <c r="M60" s="23"/>
      <c r="N60" s="31"/>
      <c r="O60" s="27"/>
      <c r="P60" s="4"/>
      <c r="Q60" s="4"/>
      <c r="R60" s="4"/>
    </row>
    <row r="61" spans="2:18">
      <c r="B61" s="4"/>
      <c r="C61" s="4"/>
      <c r="D61" s="4"/>
      <c r="E61" s="16"/>
      <c r="F61" s="29"/>
      <c r="G61" s="21"/>
      <c r="H61" s="35"/>
      <c r="I61" s="25"/>
      <c r="J61" s="19"/>
      <c r="K61" s="18"/>
      <c r="L61" s="33"/>
      <c r="M61" s="23"/>
      <c r="N61" s="31"/>
      <c r="O61" s="27"/>
      <c r="P61" s="4"/>
      <c r="Q61" s="4"/>
      <c r="R61" s="4"/>
    </row>
    <row r="62" spans="2:18">
      <c r="B62" s="4"/>
      <c r="C62" s="4"/>
      <c r="D62" s="4"/>
      <c r="E62" s="16"/>
      <c r="F62" s="29"/>
      <c r="G62" s="21"/>
      <c r="H62" s="35"/>
      <c r="I62" s="25"/>
      <c r="J62" s="19"/>
      <c r="K62" s="18"/>
      <c r="L62" s="33"/>
      <c r="M62" s="23"/>
      <c r="N62" s="31"/>
      <c r="O62" s="27"/>
      <c r="P62" s="4"/>
      <c r="Q62" s="4"/>
      <c r="R62" s="4"/>
    </row>
    <row r="63" spans="2:18">
      <c r="B63" s="4"/>
      <c r="C63" s="4"/>
      <c r="D63" s="4"/>
      <c r="E63" s="16"/>
      <c r="F63" s="29"/>
      <c r="G63" s="21"/>
      <c r="H63" s="35"/>
      <c r="I63" s="25"/>
      <c r="J63" s="19"/>
      <c r="K63" s="18"/>
      <c r="L63" s="33"/>
      <c r="M63" s="23"/>
      <c r="N63" s="31"/>
      <c r="O63" s="27"/>
      <c r="P63" s="4"/>
      <c r="Q63" s="4"/>
      <c r="R63" s="4"/>
    </row>
    <row r="64" spans="2:18">
      <c r="B64" s="4"/>
      <c r="C64" s="4"/>
      <c r="D64" s="4"/>
      <c r="E64" s="16"/>
      <c r="F64" s="29"/>
      <c r="G64" s="21"/>
      <c r="H64" s="35"/>
      <c r="I64" s="25"/>
      <c r="J64" s="19"/>
      <c r="K64" s="18"/>
      <c r="L64" s="33"/>
      <c r="M64" s="23"/>
      <c r="N64" s="31"/>
      <c r="O64" s="27"/>
      <c r="P64" s="4"/>
      <c r="Q64" s="4"/>
      <c r="R64" s="4"/>
    </row>
    <row r="65" spans="2:18">
      <c r="B65" s="4"/>
      <c r="C65" s="4"/>
      <c r="D65" s="4"/>
      <c r="E65" s="16"/>
      <c r="F65" s="29"/>
      <c r="G65" s="21"/>
      <c r="H65" s="35"/>
      <c r="I65" s="25"/>
      <c r="J65" s="19"/>
      <c r="K65" s="18"/>
      <c r="L65" s="33"/>
      <c r="M65" s="23"/>
      <c r="N65" s="31"/>
      <c r="O65" s="27"/>
      <c r="P65" s="4"/>
      <c r="Q65" s="4"/>
      <c r="R65" s="4"/>
    </row>
    <row r="66" spans="2:18">
      <c r="B66" s="4"/>
      <c r="C66" s="4"/>
      <c r="D66" s="4"/>
      <c r="E66" s="16"/>
      <c r="F66" s="29"/>
      <c r="G66" s="21"/>
      <c r="H66" s="35"/>
      <c r="I66" s="25"/>
      <c r="J66" s="19"/>
      <c r="K66" s="18"/>
      <c r="L66" s="33"/>
      <c r="M66" s="23"/>
      <c r="N66" s="31"/>
      <c r="O66" s="27"/>
      <c r="P66" s="4"/>
      <c r="Q66" s="4"/>
      <c r="R66" s="4"/>
    </row>
    <row r="67" spans="2:18">
      <c r="B67" s="4"/>
      <c r="C67" s="4"/>
      <c r="D67" s="4"/>
      <c r="E67" s="16"/>
      <c r="F67" s="29"/>
      <c r="G67" s="21"/>
      <c r="H67" s="35"/>
      <c r="I67" s="25"/>
      <c r="J67" s="19"/>
      <c r="K67" s="18"/>
      <c r="L67" s="33"/>
      <c r="M67" s="23"/>
      <c r="N67" s="31"/>
      <c r="O67" s="27"/>
      <c r="P67" s="4"/>
      <c r="Q67" s="4"/>
      <c r="R67" s="4"/>
    </row>
    <row r="68" spans="2:18">
      <c r="B68" s="4"/>
      <c r="C68" s="4"/>
      <c r="D68" s="4"/>
      <c r="E68" s="16"/>
      <c r="F68" s="29"/>
      <c r="G68" s="21"/>
      <c r="H68" s="35"/>
      <c r="I68" s="25"/>
      <c r="J68" s="19"/>
      <c r="K68" s="18"/>
      <c r="L68" s="33"/>
      <c r="M68" s="23"/>
      <c r="N68" s="31"/>
      <c r="O68" s="27"/>
      <c r="P68" s="4"/>
      <c r="Q68" s="4"/>
      <c r="R68" s="4"/>
    </row>
    <row r="69" spans="2:18">
      <c r="B69" s="4"/>
      <c r="C69" s="4"/>
      <c r="D69" s="4"/>
      <c r="E69" s="16"/>
      <c r="F69" s="29"/>
      <c r="G69" s="21"/>
      <c r="H69" s="35"/>
      <c r="I69" s="25"/>
      <c r="J69" s="19"/>
      <c r="K69" s="18"/>
      <c r="L69" s="33"/>
      <c r="M69" s="23"/>
      <c r="N69" s="31"/>
      <c r="O69" s="27"/>
      <c r="P69" s="4"/>
      <c r="Q69" s="4"/>
      <c r="R69" s="4"/>
    </row>
    <row r="70" spans="2:18">
      <c r="B70" s="4"/>
      <c r="C70" s="4"/>
      <c r="D70" s="4"/>
      <c r="E70" s="16"/>
      <c r="F70" s="29"/>
      <c r="G70" s="21"/>
      <c r="H70" s="35"/>
      <c r="I70" s="25"/>
      <c r="J70" s="19"/>
      <c r="K70" s="18"/>
      <c r="L70" s="33"/>
      <c r="M70" s="23"/>
      <c r="N70" s="31"/>
      <c r="O70" s="27"/>
      <c r="P70" s="4"/>
      <c r="Q70" s="4"/>
      <c r="R70" s="4"/>
    </row>
    <row r="71" spans="2:18">
      <c r="B71" s="4"/>
      <c r="C71" s="4"/>
      <c r="D71" s="4"/>
      <c r="E71" s="16"/>
      <c r="F71" s="29"/>
      <c r="G71" s="21"/>
      <c r="H71" s="35"/>
      <c r="I71" s="25"/>
      <c r="J71" s="19"/>
      <c r="K71" s="18"/>
      <c r="L71" s="33"/>
      <c r="M71" s="23"/>
      <c r="N71" s="31"/>
      <c r="O71" s="27"/>
      <c r="P71" s="4"/>
      <c r="Q71" s="4"/>
      <c r="R71" s="4"/>
    </row>
    <row r="72" spans="2:18">
      <c r="B72" s="4"/>
      <c r="C72" s="4"/>
      <c r="D72" s="4"/>
      <c r="E72" s="16"/>
      <c r="F72" s="29"/>
      <c r="G72" s="21"/>
      <c r="H72" s="35"/>
      <c r="I72" s="25"/>
      <c r="J72" s="19"/>
      <c r="K72" s="18"/>
      <c r="L72" s="33"/>
      <c r="M72" s="23"/>
      <c r="N72" s="31"/>
      <c r="O72" s="27"/>
      <c r="P72" s="4"/>
      <c r="Q72" s="4"/>
      <c r="R72" s="4"/>
    </row>
    <row r="73" spans="2:18">
      <c r="B73" s="4"/>
      <c r="C73" s="4"/>
      <c r="D73" s="4"/>
      <c r="E73" s="16"/>
      <c r="F73" s="29"/>
      <c r="G73" s="21"/>
      <c r="H73" s="35"/>
      <c r="I73" s="25"/>
      <c r="J73" s="19"/>
      <c r="K73" s="18"/>
      <c r="L73" s="33"/>
      <c r="M73" s="23"/>
      <c r="N73" s="31"/>
      <c r="O73" s="27"/>
      <c r="P73" s="4"/>
      <c r="Q73" s="4"/>
      <c r="R73" s="4"/>
    </row>
    <row r="74" spans="2:18">
      <c r="B74" s="4"/>
      <c r="C74" s="4"/>
      <c r="D74" s="4"/>
      <c r="E74" s="16"/>
      <c r="F74" s="29"/>
      <c r="G74" s="21"/>
      <c r="H74" s="35"/>
      <c r="I74" s="25"/>
      <c r="J74" s="19"/>
      <c r="K74" s="18"/>
      <c r="L74" s="33"/>
      <c r="M74" s="23"/>
      <c r="N74" s="31"/>
      <c r="O74" s="27"/>
      <c r="P74" s="4"/>
      <c r="Q74" s="4"/>
      <c r="R74" s="4"/>
    </row>
    <row r="75" spans="2:18">
      <c r="B75" s="4"/>
      <c r="C75" s="4"/>
      <c r="D75" s="4"/>
      <c r="E75" s="16"/>
      <c r="F75" s="29"/>
      <c r="G75" s="21"/>
      <c r="H75" s="35"/>
      <c r="I75" s="25"/>
      <c r="J75" s="19"/>
      <c r="K75" s="18"/>
      <c r="L75" s="33"/>
      <c r="M75" s="23"/>
      <c r="N75" s="31"/>
      <c r="O75" s="27"/>
      <c r="P75" s="4"/>
      <c r="Q75" s="4"/>
      <c r="R75" s="4"/>
    </row>
    <row r="76" spans="2:18">
      <c r="B76" s="4"/>
      <c r="C76" s="4"/>
      <c r="D76" s="4"/>
      <c r="E76" s="16"/>
      <c r="F76" s="29"/>
      <c r="G76" s="21"/>
      <c r="H76" s="35"/>
      <c r="I76" s="25"/>
      <c r="J76" s="19"/>
      <c r="K76" s="18"/>
      <c r="L76" s="33"/>
      <c r="M76" s="23"/>
      <c r="N76" s="31"/>
      <c r="O76" s="27"/>
      <c r="P76" s="4"/>
      <c r="Q76" s="4"/>
      <c r="R76" s="4"/>
    </row>
    <row r="77" spans="2:18">
      <c r="B77" s="4"/>
      <c r="C77" s="4"/>
      <c r="D77" s="4"/>
      <c r="E77" s="16"/>
      <c r="F77" s="29"/>
      <c r="G77" s="21"/>
      <c r="H77" s="35"/>
      <c r="I77" s="25"/>
      <c r="J77" s="19"/>
      <c r="K77" s="18"/>
      <c r="L77" s="33"/>
      <c r="M77" s="23"/>
      <c r="N77" s="31"/>
      <c r="O77" s="27"/>
      <c r="P77" s="4"/>
      <c r="Q77" s="4"/>
      <c r="R77" s="4"/>
    </row>
    <row r="78" spans="2:18">
      <c r="B78" s="4"/>
      <c r="C78" s="4"/>
      <c r="D78" s="4"/>
      <c r="E78" s="16"/>
      <c r="F78" s="29"/>
      <c r="G78" s="21"/>
      <c r="H78" s="35"/>
      <c r="I78" s="25"/>
      <c r="J78" s="19"/>
      <c r="K78" s="18"/>
      <c r="L78" s="33"/>
      <c r="M78" s="23"/>
      <c r="N78" s="31"/>
      <c r="O78" s="27"/>
      <c r="P78" s="4"/>
      <c r="Q78" s="4"/>
      <c r="R78" s="4"/>
    </row>
    <row r="79" spans="2:18">
      <c r="B79" s="4"/>
      <c r="C79" s="4"/>
      <c r="D79" s="4"/>
      <c r="E79" s="16"/>
      <c r="F79" s="29"/>
      <c r="G79" s="21"/>
      <c r="H79" s="35"/>
      <c r="I79" s="25"/>
      <c r="J79" s="19"/>
      <c r="K79" s="18"/>
      <c r="L79" s="33"/>
      <c r="M79" s="23"/>
      <c r="N79" s="31"/>
      <c r="O79" s="27"/>
      <c r="P79" s="4"/>
      <c r="Q79" s="4"/>
      <c r="R79" s="4"/>
    </row>
    <row r="80" spans="2:18">
      <c r="B80" s="4"/>
      <c r="C80" s="4"/>
      <c r="D80" s="4"/>
      <c r="E80" s="16"/>
      <c r="F80" s="29"/>
      <c r="G80" s="21"/>
      <c r="H80" s="35"/>
      <c r="I80" s="25"/>
      <c r="J80" s="19"/>
      <c r="K80" s="18"/>
      <c r="L80" s="33"/>
      <c r="M80" s="23"/>
      <c r="N80" s="31"/>
      <c r="O80" s="27"/>
      <c r="P80" s="4"/>
      <c r="Q80" s="4"/>
      <c r="R80" s="4"/>
    </row>
    <row r="81" spans="2:18">
      <c r="B81" s="4"/>
      <c r="C81" s="4"/>
      <c r="D81" s="4"/>
      <c r="E81" s="16"/>
      <c r="F81" s="29"/>
      <c r="G81" s="21"/>
      <c r="H81" s="35"/>
      <c r="I81" s="25"/>
      <c r="J81" s="19"/>
      <c r="K81" s="18"/>
      <c r="L81" s="33"/>
      <c r="M81" s="23"/>
      <c r="N81" s="31"/>
      <c r="O81" s="27"/>
      <c r="P81" s="4"/>
      <c r="Q81" s="4"/>
      <c r="R81" s="4"/>
    </row>
    <row r="82" spans="2:18">
      <c r="B82" s="4"/>
      <c r="C82" s="4"/>
      <c r="D82" s="4"/>
      <c r="E82" s="16"/>
      <c r="F82" s="29"/>
      <c r="G82" s="21"/>
      <c r="H82" s="35"/>
      <c r="I82" s="25"/>
      <c r="J82" s="19"/>
      <c r="K82" s="18"/>
      <c r="L82" s="33"/>
      <c r="M82" s="23"/>
      <c r="N82" s="31"/>
      <c r="O82" s="27"/>
      <c r="P82" s="4"/>
      <c r="Q82" s="4"/>
      <c r="R82" s="4"/>
    </row>
    <row r="83" spans="2:18">
      <c r="B83" s="4"/>
      <c r="C83" s="4"/>
      <c r="D83" s="4"/>
      <c r="E83" s="16"/>
      <c r="F83" s="29"/>
      <c r="G83" s="21"/>
      <c r="H83" s="35"/>
      <c r="I83" s="25"/>
      <c r="J83" s="19"/>
      <c r="K83" s="18"/>
      <c r="L83" s="33"/>
      <c r="M83" s="23"/>
      <c r="N83" s="31"/>
      <c r="O83" s="27"/>
      <c r="P83" s="4"/>
      <c r="Q83" s="4"/>
      <c r="R83" s="4"/>
    </row>
    <row r="84" spans="2:18">
      <c r="B84" s="4"/>
      <c r="C84" s="4"/>
      <c r="D84" s="4"/>
      <c r="E84" s="16"/>
      <c r="F84" s="29"/>
      <c r="G84" s="21"/>
      <c r="H84" s="35"/>
      <c r="I84" s="25"/>
      <c r="J84" s="19"/>
      <c r="K84" s="18"/>
      <c r="L84" s="33"/>
      <c r="M84" s="23"/>
      <c r="N84" s="31"/>
      <c r="O84" s="27"/>
      <c r="P84" s="4"/>
      <c r="Q84" s="4"/>
      <c r="R84" s="4"/>
    </row>
    <row r="85" spans="2:18">
      <c r="B85" s="4"/>
      <c r="C85" s="4"/>
      <c r="D85" s="4"/>
      <c r="E85" s="16"/>
      <c r="F85" s="29"/>
      <c r="G85" s="21"/>
      <c r="H85" s="35"/>
      <c r="I85" s="25"/>
      <c r="J85" s="19"/>
      <c r="K85" s="18"/>
      <c r="L85" s="33"/>
      <c r="M85" s="23"/>
      <c r="N85" s="31"/>
      <c r="O85" s="27"/>
      <c r="P85" s="4"/>
      <c r="Q85" s="4"/>
      <c r="R85" s="4"/>
    </row>
    <row r="86" spans="2:18">
      <c r="B86" s="4"/>
      <c r="C86" s="4"/>
      <c r="D86" s="4"/>
      <c r="E86" s="16"/>
      <c r="F86" s="29"/>
      <c r="G86" s="21"/>
      <c r="H86" s="35"/>
      <c r="I86" s="25"/>
      <c r="J86" s="19"/>
      <c r="K86" s="18"/>
      <c r="L86" s="33"/>
      <c r="M86" s="23"/>
      <c r="N86" s="31"/>
      <c r="O86" s="27"/>
      <c r="P86" s="4"/>
      <c r="Q86" s="4"/>
      <c r="R86" s="4"/>
    </row>
    <row r="87" spans="2:18">
      <c r="B87" s="4"/>
      <c r="C87" s="4"/>
      <c r="D87" s="4"/>
      <c r="E87" s="16"/>
      <c r="F87" s="29"/>
      <c r="G87" s="21"/>
      <c r="H87" s="35"/>
      <c r="I87" s="25"/>
      <c r="J87" s="19"/>
      <c r="K87" s="18"/>
      <c r="L87" s="33"/>
      <c r="M87" s="23"/>
      <c r="N87" s="31"/>
      <c r="O87" s="27"/>
      <c r="P87" s="4"/>
      <c r="Q87" s="4"/>
      <c r="R87" s="4"/>
    </row>
    <row r="88" spans="2:18">
      <c r="B88" s="4"/>
      <c r="C88" s="4"/>
      <c r="D88" s="4"/>
      <c r="E88" s="16"/>
      <c r="F88" s="29"/>
      <c r="G88" s="21"/>
      <c r="H88" s="35"/>
      <c r="I88" s="25"/>
      <c r="J88" s="19"/>
      <c r="K88" s="18"/>
      <c r="L88" s="33"/>
      <c r="M88" s="23"/>
      <c r="N88" s="31"/>
      <c r="O88" s="27"/>
      <c r="P88" s="4"/>
      <c r="Q88" s="4"/>
      <c r="R88" s="4"/>
    </row>
    <row r="89" spans="2:18">
      <c r="B89" s="4"/>
      <c r="C89" s="4"/>
      <c r="D89" s="4"/>
      <c r="E89" s="16"/>
      <c r="F89" s="29"/>
      <c r="G89" s="21"/>
      <c r="H89" s="35"/>
      <c r="I89" s="25"/>
      <c r="J89" s="19"/>
      <c r="K89" s="18"/>
      <c r="L89" s="33"/>
      <c r="M89" s="23"/>
      <c r="N89" s="31"/>
      <c r="O89" s="27"/>
      <c r="P89" s="4"/>
      <c r="Q89" s="4"/>
      <c r="R89" s="4"/>
    </row>
    <row r="90" spans="2:18">
      <c r="B90" s="4"/>
      <c r="C90" s="4"/>
      <c r="D90" s="4"/>
      <c r="E90" s="16"/>
      <c r="F90" s="29"/>
      <c r="G90" s="21"/>
      <c r="H90" s="35"/>
      <c r="I90" s="25"/>
      <c r="J90" s="19"/>
      <c r="K90" s="18"/>
      <c r="L90" s="33"/>
      <c r="M90" s="23"/>
      <c r="N90" s="31"/>
      <c r="O90" s="27"/>
      <c r="P90" s="4"/>
      <c r="Q90" s="4"/>
      <c r="R90" s="4"/>
    </row>
    <row r="91" spans="2:18">
      <c r="B91" s="4"/>
      <c r="C91" s="4"/>
      <c r="D91" s="4"/>
      <c r="E91" s="16"/>
      <c r="F91" s="29"/>
      <c r="G91" s="21"/>
      <c r="H91" s="35"/>
      <c r="I91" s="25"/>
      <c r="J91" s="19"/>
      <c r="K91" s="18"/>
      <c r="L91" s="33"/>
      <c r="M91" s="23"/>
      <c r="N91" s="31"/>
      <c r="O91" s="27"/>
      <c r="P91" s="4"/>
      <c r="Q91" s="4"/>
      <c r="R91" s="4"/>
    </row>
    <row r="92" spans="2:18">
      <c r="B92" s="4"/>
      <c r="C92" s="4"/>
      <c r="D92" s="4"/>
      <c r="E92" s="16"/>
      <c r="F92" s="29"/>
      <c r="G92" s="21"/>
      <c r="H92" s="35"/>
      <c r="I92" s="25"/>
      <c r="J92" s="19"/>
      <c r="K92" s="18"/>
      <c r="L92" s="33"/>
      <c r="M92" s="23"/>
      <c r="N92" s="31"/>
      <c r="O92" s="27"/>
      <c r="P92" s="4"/>
      <c r="Q92" s="4"/>
      <c r="R92" s="4"/>
    </row>
    <row r="93" spans="2:18">
      <c r="B93" s="4"/>
      <c r="C93" s="4"/>
      <c r="D93" s="4"/>
      <c r="E93" s="16"/>
      <c r="F93" s="29"/>
      <c r="G93" s="21"/>
      <c r="H93" s="35"/>
      <c r="I93" s="25"/>
      <c r="J93" s="19"/>
      <c r="K93" s="18"/>
      <c r="L93" s="33"/>
      <c r="M93" s="23"/>
      <c r="N93" s="31"/>
      <c r="O93" s="27"/>
      <c r="P93" s="4"/>
      <c r="Q93" s="4"/>
      <c r="R93" s="4"/>
    </row>
    <row r="94" spans="2:18">
      <c r="B94" s="4"/>
      <c r="C94" s="4"/>
      <c r="D94" s="4"/>
      <c r="E94" s="16"/>
      <c r="F94" s="29"/>
      <c r="G94" s="21"/>
      <c r="H94" s="35"/>
      <c r="I94" s="25"/>
      <c r="J94" s="19"/>
      <c r="K94" s="18"/>
      <c r="L94" s="33"/>
      <c r="M94" s="23"/>
      <c r="N94" s="31"/>
      <c r="O94" s="27"/>
      <c r="P94" s="4"/>
      <c r="Q94" s="4"/>
      <c r="R94" s="4"/>
    </row>
    <row r="95" spans="2:18">
      <c r="B95" s="4"/>
      <c r="C95" s="4"/>
      <c r="D95" s="4"/>
      <c r="E95" s="16"/>
      <c r="F95" s="29"/>
      <c r="G95" s="21"/>
      <c r="H95" s="35"/>
      <c r="I95" s="25"/>
      <c r="J95" s="19"/>
      <c r="K95" s="18"/>
      <c r="L95" s="33"/>
      <c r="M95" s="23"/>
      <c r="N95" s="31"/>
      <c r="O95" s="27"/>
      <c r="P95" s="4"/>
      <c r="Q95" s="4"/>
      <c r="R95" s="4"/>
    </row>
    <row r="96" spans="2:18">
      <c r="B96" s="4"/>
      <c r="C96" s="4"/>
      <c r="D96" s="4"/>
      <c r="E96" s="16"/>
      <c r="F96" s="29"/>
      <c r="G96" s="21"/>
      <c r="H96" s="35"/>
      <c r="I96" s="25"/>
      <c r="J96" s="19"/>
      <c r="K96" s="18"/>
      <c r="L96" s="33"/>
      <c r="M96" s="23"/>
      <c r="N96" s="31"/>
      <c r="O96" s="27"/>
      <c r="P96" s="4"/>
      <c r="Q96" s="4"/>
      <c r="R96" s="4"/>
    </row>
    <row r="97" spans="2:18">
      <c r="B97" s="4"/>
      <c r="C97" s="4"/>
      <c r="D97" s="4"/>
      <c r="E97" s="16"/>
      <c r="F97" s="29"/>
      <c r="G97" s="21"/>
      <c r="H97" s="35"/>
      <c r="I97" s="25"/>
      <c r="J97" s="19"/>
      <c r="K97" s="18"/>
      <c r="L97" s="33"/>
      <c r="M97" s="23"/>
      <c r="N97" s="31"/>
      <c r="O97" s="27"/>
      <c r="P97" s="4"/>
      <c r="Q97" s="4"/>
      <c r="R97" s="4"/>
    </row>
    <row r="98" spans="2:18">
      <c r="B98" s="4"/>
      <c r="C98" s="4"/>
      <c r="D98" s="4"/>
      <c r="E98" s="16"/>
      <c r="F98" s="29"/>
      <c r="G98" s="21"/>
      <c r="H98" s="35"/>
      <c r="I98" s="25"/>
      <c r="J98" s="19"/>
      <c r="K98" s="18"/>
      <c r="L98" s="33"/>
      <c r="M98" s="23"/>
      <c r="N98" s="31"/>
      <c r="O98" s="27"/>
      <c r="P98" s="4"/>
      <c r="Q98" s="4"/>
      <c r="R98" s="4"/>
    </row>
    <row r="99" spans="2:18">
      <c r="B99" s="4"/>
      <c r="C99" s="4"/>
      <c r="D99" s="4"/>
      <c r="E99" s="16"/>
      <c r="F99" s="29"/>
      <c r="G99" s="21"/>
      <c r="H99" s="35"/>
      <c r="I99" s="25"/>
      <c r="J99" s="19"/>
      <c r="K99" s="18"/>
      <c r="L99" s="33"/>
      <c r="M99" s="23"/>
      <c r="N99" s="31"/>
      <c r="O99" s="27"/>
      <c r="P99" s="4"/>
      <c r="Q99" s="4"/>
      <c r="R99" s="4"/>
    </row>
    <row r="100" spans="2:18">
      <c r="B100" s="4"/>
      <c r="C100" s="4"/>
      <c r="D100" s="4"/>
      <c r="E100" s="16"/>
      <c r="F100" s="29"/>
      <c r="G100" s="21"/>
      <c r="H100" s="35"/>
      <c r="I100" s="25"/>
      <c r="J100" s="19"/>
      <c r="K100" s="18"/>
      <c r="L100" s="33"/>
      <c r="M100" s="23"/>
      <c r="N100" s="31"/>
      <c r="O100" s="27"/>
      <c r="P100" s="4"/>
      <c r="Q100" s="4"/>
      <c r="R100" s="4"/>
    </row>
    <row r="101" spans="2:18">
      <c r="B101" s="4"/>
      <c r="C101" s="4"/>
      <c r="D101" s="4"/>
      <c r="E101" s="16"/>
      <c r="F101" s="29"/>
      <c r="G101" s="21"/>
      <c r="H101" s="35"/>
      <c r="I101" s="25"/>
      <c r="J101" s="19"/>
      <c r="K101" s="18"/>
      <c r="L101" s="33"/>
      <c r="M101" s="23"/>
      <c r="N101" s="31"/>
      <c r="O101" s="27"/>
      <c r="P101" s="4"/>
      <c r="Q101" s="4"/>
      <c r="R101" s="4"/>
    </row>
    <row r="102" spans="2:18">
      <c r="B102" s="4"/>
      <c r="C102" s="4"/>
      <c r="D102" s="4"/>
      <c r="E102" s="16"/>
      <c r="F102" s="29"/>
      <c r="G102" s="21"/>
      <c r="H102" s="35"/>
      <c r="I102" s="25"/>
      <c r="J102" s="19"/>
      <c r="K102" s="18"/>
      <c r="L102" s="33"/>
      <c r="M102" s="23"/>
      <c r="N102" s="31"/>
      <c r="O102" s="27"/>
      <c r="P102" s="4"/>
      <c r="Q102" s="4"/>
      <c r="R102" s="4"/>
    </row>
    <row r="103" spans="2:18">
      <c r="B103" s="4"/>
      <c r="C103" s="4"/>
      <c r="D103" s="4"/>
      <c r="E103" s="16"/>
      <c r="F103" s="29"/>
      <c r="G103" s="21"/>
      <c r="H103" s="35"/>
      <c r="I103" s="25"/>
      <c r="J103" s="19"/>
      <c r="K103" s="18"/>
      <c r="L103" s="33"/>
      <c r="M103" s="23"/>
      <c r="N103" s="31"/>
      <c r="O103" s="27"/>
      <c r="P103" s="4"/>
      <c r="Q103" s="4"/>
      <c r="R103" s="4"/>
    </row>
    <row r="104" spans="2:18">
      <c r="B104" s="4"/>
      <c r="C104" s="4"/>
      <c r="D104" s="4"/>
      <c r="E104" s="16"/>
      <c r="F104" s="29"/>
      <c r="G104" s="21"/>
      <c r="H104" s="35"/>
      <c r="I104" s="25"/>
      <c r="J104" s="19"/>
      <c r="K104" s="18"/>
      <c r="L104" s="33"/>
      <c r="M104" s="23"/>
      <c r="N104" s="31"/>
      <c r="O104" s="27"/>
      <c r="P104" s="4"/>
      <c r="Q104" s="4"/>
      <c r="R104" s="4"/>
    </row>
    <row r="105" spans="2:18">
      <c r="B105" s="4"/>
      <c r="C105" s="4"/>
      <c r="D105" s="4"/>
      <c r="E105" s="16"/>
      <c r="F105" s="29"/>
      <c r="G105" s="21"/>
      <c r="H105" s="35"/>
      <c r="I105" s="25"/>
      <c r="J105" s="19"/>
      <c r="K105" s="18"/>
      <c r="L105" s="33"/>
      <c r="M105" s="23"/>
      <c r="N105" s="31"/>
      <c r="O105" s="27"/>
      <c r="P105" s="4"/>
      <c r="Q105" s="4"/>
      <c r="R105" s="4"/>
    </row>
    <row r="106" spans="2:18">
      <c r="B106" s="4"/>
      <c r="C106" s="4"/>
      <c r="D106" s="4"/>
      <c r="E106" s="16"/>
      <c r="F106" s="29"/>
      <c r="G106" s="21"/>
      <c r="H106" s="35"/>
      <c r="I106" s="25"/>
      <c r="J106" s="19"/>
      <c r="K106" s="18"/>
      <c r="L106" s="33"/>
      <c r="M106" s="23"/>
      <c r="N106" s="31"/>
      <c r="O106" s="27"/>
      <c r="P106" s="4"/>
      <c r="Q106" s="4"/>
      <c r="R106" s="4"/>
    </row>
    <row r="107" spans="2:18">
      <c r="B107" s="4"/>
      <c r="C107" s="4"/>
      <c r="D107" s="4"/>
      <c r="E107" s="16"/>
      <c r="F107" s="29"/>
      <c r="G107" s="21"/>
      <c r="H107" s="35"/>
      <c r="I107" s="25"/>
      <c r="J107" s="19"/>
      <c r="K107" s="18"/>
      <c r="L107" s="33"/>
      <c r="M107" s="23"/>
      <c r="N107" s="31"/>
      <c r="O107" s="27"/>
      <c r="P107" s="4"/>
      <c r="Q107" s="4"/>
      <c r="R107" s="4"/>
    </row>
    <row r="108" spans="2:18">
      <c r="B108" s="4"/>
      <c r="C108" s="4"/>
      <c r="D108" s="4"/>
      <c r="E108" s="16"/>
      <c r="F108" s="29"/>
      <c r="G108" s="21"/>
      <c r="H108" s="35"/>
      <c r="I108" s="25"/>
      <c r="J108" s="19"/>
      <c r="K108" s="18"/>
      <c r="L108" s="33"/>
      <c r="M108" s="23"/>
      <c r="N108" s="31"/>
      <c r="O108" s="27"/>
      <c r="P108" s="4"/>
      <c r="Q108" s="4"/>
      <c r="R108" s="4"/>
    </row>
    <row r="109" spans="2:18">
      <c r="B109" s="4"/>
      <c r="C109" s="4"/>
      <c r="D109" s="4"/>
      <c r="E109" s="16"/>
      <c r="F109" s="29"/>
      <c r="G109" s="21"/>
      <c r="H109" s="35"/>
      <c r="I109" s="25"/>
      <c r="J109" s="19"/>
      <c r="K109" s="18"/>
      <c r="L109" s="33"/>
      <c r="M109" s="23"/>
      <c r="N109" s="31"/>
      <c r="O109" s="27"/>
      <c r="P109" s="4"/>
      <c r="Q109" s="4"/>
      <c r="R109" s="4"/>
    </row>
    <row r="110" spans="2:18">
      <c r="B110" s="4"/>
      <c r="C110" s="4"/>
      <c r="D110" s="4"/>
      <c r="E110" s="16"/>
      <c r="F110" s="29"/>
      <c r="G110" s="21"/>
      <c r="H110" s="35"/>
      <c r="I110" s="25"/>
      <c r="J110" s="19"/>
      <c r="K110" s="18"/>
      <c r="L110" s="33"/>
      <c r="M110" s="23"/>
      <c r="N110" s="31"/>
      <c r="O110" s="27"/>
      <c r="P110" s="4"/>
      <c r="Q110" s="4"/>
      <c r="R110" s="4"/>
    </row>
    <row r="111" spans="2:18">
      <c r="B111" s="4"/>
      <c r="C111" s="4"/>
      <c r="D111" s="4"/>
      <c r="E111" s="16"/>
      <c r="F111" s="29"/>
      <c r="G111" s="21"/>
      <c r="H111" s="35"/>
      <c r="I111" s="25"/>
      <c r="J111" s="19"/>
      <c r="K111" s="18"/>
      <c r="L111" s="33"/>
      <c r="M111" s="23"/>
      <c r="N111" s="31"/>
      <c r="O111" s="27"/>
      <c r="P111" s="4"/>
      <c r="Q111" s="4"/>
      <c r="R111" s="4"/>
    </row>
    <row r="112" spans="2:18">
      <c r="B112" s="4"/>
      <c r="C112" s="4"/>
      <c r="D112" s="4"/>
      <c r="E112" s="16"/>
      <c r="F112" s="29"/>
      <c r="G112" s="21"/>
      <c r="H112" s="35"/>
      <c r="I112" s="25"/>
      <c r="J112" s="19"/>
      <c r="K112" s="18"/>
      <c r="L112" s="33"/>
      <c r="M112" s="23"/>
      <c r="N112" s="31"/>
      <c r="O112" s="27"/>
      <c r="P112" s="4"/>
      <c r="Q112" s="4"/>
      <c r="R112" s="4"/>
    </row>
    <row r="113" spans="2:18">
      <c r="B113" s="4"/>
      <c r="C113" s="4"/>
      <c r="D113" s="4"/>
      <c r="E113" s="16"/>
      <c r="F113" s="29"/>
      <c r="G113" s="21"/>
      <c r="H113" s="35"/>
      <c r="I113" s="25"/>
      <c r="J113" s="19"/>
      <c r="K113" s="18"/>
      <c r="L113" s="33"/>
      <c r="M113" s="23"/>
      <c r="N113" s="31"/>
      <c r="O113" s="27"/>
      <c r="P113" s="4"/>
      <c r="Q113" s="4"/>
      <c r="R113" s="4"/>
    </row>
    <row r="114" spans="2:18">
      <c r="B114" s="4"/>
      <c r="C114" s="4"/>
      <c r="D114" s="4"/>
      <c r="E114" s="16"/>
      <c r="F114" s="29"/>
      <c r="G114" s="21"/>
      <c r="H114" s="35"/>
      <c r="I114" s="25"/>
      <c r="J114" s="19"/>
      <c r="K114" s="18"/>
      <c r="L114" s="33"/>
      <c r="M114" s="23"/>
      <c r="N114" s="31"/>
      <c r="O114" s="27"/>
      <c r="P114" s="4"/>
      <c r="Q114" s="4"/>
      <c r="R114" s="4"/>
    </row>
    <row r="115" spans="2:18">
      <c r="B115" s="4"/>
      <c r="C115" s="4"/>
      <c r="D115" s="4"/>
      <c r="E115" s="16"/>
      <c r="F115" s="29"/>
      <c r="G115" s="21"/>
      <c r="H115" s="35"/>
      <c r="I115" s="25"/>
      <c r="J115" s="19"/>
      <c r="K115" s="18"/>
      <c r="L115" s="33"/>
      <c r="M115" s="23"/>
      <c r="N115" s="31"/>
      <c r="O115" s="27"/>
      <c r="P115" s="4"/>
      <c r="Q115" s="4"/>
      <c r="R115" s="4"/>
    </row>
    <row r="116" spans="2:18">
      <c r="B116" s="4"/>
      <c r="C116" s="4"/>
      <c r="D116" s="4"/>
      <c r="E116" s="16"/>
      <c r="F116" s="29"/>
      <c r="G116" s="21"/>
      <c r="H116" s="35"/>
      <c r="I116" s="25"/>
      <c r="J116" s="19"/>
      <c r="K116" s="18"/>
      <c r="L116" s="33"/>
      <c r="M116" s="23"/>
      <c r="N116" s="31"/>
      <c r="O116" s="27"/>
      <c r="P116" s="4"/>
      <c r="Q116" s="4"/>
      <c r="R116" s="4"/>
    </row>
    <row r="117" spans="2:18">
      <c r="B117" s="4"/>
      <c r="C117" s="4"/>
      <c r="D117" s="4"/>
      <c r="E117" s="16"/>
      <c r="F117" s="29"/>
      <c r="G117" s="21"/>
      <c r="H117" s="35"/>
      <c r="I117" s="25"/>
      <c r="J117" s="19"/>
      <c r="K117" s="18"/>
      <c r="L117" s="33"/>
      <c r="M117" s="23"/>
      <c r="N117" s="31"/>
      <c r="O117" s="27"/>
      <c r="P117" s="4"/>
      <c r="Q117" s="4"/>
      <c r="R117" s="4"/>
    </row>
    <row r="118" spans="2:18">
      <c r="B118" s="4"/>
      <c r="C118" s="4"/>
      <c r="D118" s="4"/>
      <c r="E118" s="16"/>
      <c r="F118" s="29"/>
      <c r="G118" s="21"/>
      <c r="H118" s="35"/>
      <c r="I118" s="25"/>
      <c r="J118" s="19"/>
      <c r="K118" s="18"/>
      <c r="L118" s="33"/>
      <c r="M118" s="23"/>
      <c r="N118" s="31"/>
      <c r="O118" s="27"/>
      <c r="P118" s="4"/>
      <c r="Q118" s="4"/>
      <c r="R118" s="4"/>
    </row>
    <row r="119" spans="2:18">
      <c r="B119" s="4"/>
      <c r="C119" s="4"/>
      <c r="D119" s="4"/>
      <c r="E119" s="16"/>
      <c r="F119" s="29"/>
      <c r="G119" s="21"/>
      <c r="H119" s="35"/>
      <c r="I119" s="25"/>
      <c r="J119" s="19"/>
      <c r="K119" s="18"/>
      <c r="L119" s="33"/>
      <c r="M119" s="23"/>
      <c r="N119" s="31"/>
      <c r="O119" s="27"/>
      <c r="P119" s="4"/>
      <c r="Q119" s="4"/>
      <c r="R119" s="4"/>
    </row>
    <row r="120" spans="2:18">
      <c r="B120" s="4"/>
      <c r="C120" s="4"/>
      <c r="D120" s="4"/>
      <c r="E120" s="16"/>
      <c r="F120" s="29"/>
      <c r="G120" s="21"/>
      <c r="H120" s="35"/>
      <c r="I120" s="25"/>
      <c r="J120" s="19"/>
      <c r="K120" s="18"/>
      <c r="L120" s="33"/>
      <c r="M120" s="23"/>
      <c r="N120" s="31"/>
      <c r="O120" s="27"/>
      <c r="P120" s="4"/>
      <c r="Q120" s="4"/>
      <c r="R120" s="4"/>
    </row>
    <row r="121" spans="2:18">
      <c r="B121" s="4"/>
      <c r="C121" s="4"/>
      <c r="D121" s="4"/>
      <c r="E121" s="16"/>
      <c r="F121" s="29"/>
      <c r="G121" s="21"/>
      <c r="H121" s="35"/>
      <c r="I121" s="25"/>
      <c r="J121" s="19"/>
      <c r="K121" s="18"/>
      <c r="L121" s="33"/>
      <c r="M121" s="23"/>
      <c r="N121" s="31"/>
      <c r="O121" s="27"/>
      <c r="P121" s="4"/>
      <c r="Q121" s="4"/>
      <c r="R121" s="4"/>
    </row>
    <row r="122" spans="2:18">
      <c r="B122" s="4"/>
      <c r="C122" s="4"/>
      <c r="D122" s="4"/>
      <c r="E122" s="16"/>
      <c r="F122" s="29"/>
      <c r="G122" s="21"/>
      <c r="H122" s="35"/>
      <c r="I122" s="25"/>
      <c r="J122" s="19"/>
      <c r="K122" s="18"/>
      <c r="L122" s="33"/>
      <c r="M122" s="23"/>
      <c r="N122" s="31"/>
      <c r="O122" s="27"/>
      <c r="P122" s="4"/>
      <c r="Q122" s="4"/>
      <c r="R122" s="4"/>
    </row>
    <row r="123" spans="2:18">
      <c r="B123" s="4"/>
      <c r="C123" s="4"/>
      <c r="D123" s="4"/>
      <c r="E123" s="16"/>
      <c r="F123" s="29"/>
      <c r="G123" s="21"/>
      <c r="H123" s="35"/>
      <c r="I123" s="25"/>
      <c r="J123" s="19"/>
      <c r="K123" s="18"/>
      <c r="L123" s="33"/>
      <c r="M123" s="23"/>
      <c r="N123" s="31"/>
      <c r="O123" s="27"/>
      <c r="P123" s="4"/>
      <c r="Q123" s="4"/>
      <c r="R123" s="4"/>
    </row>
    <row r="124" spans="2:18">
      <c r="B124" s="4"/>
      <c r="C124" s="4"/>
      <c r="D124" s="4"/>
      <c r="E124" s="16"/>
      <c r="F124" s="29"/>
      <c r="G124" s="21"/>
      <c r="H124" s="35"/>
      <c r="I124" s="25"/>
      <c r="J124" s="19"/>
      <c r="K124" s="18"/>
      <c r="L124" s="33"/>
      <c r="M124" s="23"/>
      <c r="N124" s="31"/>
      <c r="O124" s="27"/>
      <c r="P124" s="4"/>
      <c r="Q124" s="4"/>
      <c r="R124" s="4"/>
    </row>
    <row r="125" spans="2:18">
      <c r="B125" s="4"/>
      <c r="C125" s="4"/>
      <c r="D125" s="4"/>
      <c r="E125" s="16"/>
      <c r="F125" s="29"/>
      <c r="G125" s="21"/>
      <c r="H125" s="35"/>
      <c r="I125" s="25"/>
      <c r="J125" s="19"/>
      <c r="K125" s="18"/>
      <c r="L125" s="33"/>
      <c r="M125" s="23"/>
      <c r="N125" s="31"/>
      <c r="O125" s="27"/>
      <c r="P125" s="4"/>
      <c r="Q125" s="4"/>
      <c r="R125" s="4"/>
    </row>
    <row r="126" spans="2:18">
      <c r="B126" s="4"/>
      <c r="C126" s="4"/>
      <c r="D126" s="4"/>
      <c r="E126" s="16"/>
      <c r="F126" s="29"/>
      <c r="G126" s="21"/>
      <c r="H126" s="35"/>
      <c r="I126" s="25"/>
      <c r="J126" s="19"/>
      <c r="K126" s="18"/>
      <c r="L126" s="33"/>
      <c r="M126" s="23"/>
      <c r="N126" s="31"/>
      <c r="O126" s="27"/>
      <c r="P126" s="4"/>
      <c r="Q126" s="4"/>
      <c r="R126" s="4"/>
    </row>
    <row r="127" spans="2:18">
      <c r="B127" s="4"/>
      <c r="C127" s="4"/>
      <c r="D127" s="4"/>
      <c r="E127" s="16"/>
      <c r="F127" s="29"/>
      <c r="G127" s="21"/>
      <c r="H127" s="35"/>
      <c r="I127" s="25"/>
      <c r="J127" s="19"/>
      <c r="K127" s="18"/>
      <c r="L127" s="33"/>
      <c r="M127" s="23"/>
      <c r="N127" s="31"/>
      <c r="O127" s="27"/>
      <c r="P127" s="4"/>
      <c r="Q127" s="4"/>
      <c r="R127" s="4"/>
    </row>
    <row r="128" spans="2:18">
      <c r="B128" s="4"/>
      <c r="C128" s="4"/>
      <c r="D128" s="4"/>
      <c r="E128" s="16"/>
      <c r="F128" s="29"/>
      <c r="G128" s="21"/>
      <c r="H128" s="35"/>
      <c r="I128" s="25"/>
      <c r="J128" s="19"/>
      <c r="K128" s="18"/>
      <c r="L128" s="33"/>
      <c r="M128" s="23"/>
      <c r="N128" s="31"/>
      <c r="O128" s="27"/>
      <c r="P128" s="4"/>
      <c r="Q128" s="4"/>
      <c r="R128" s="4"/>
    </row>
    <row r="129" spans="2:18">
      <c r="B129" s="4"/>
      <c r="C129" s="4"/>
      <c r="D129" s="4"/>
      <c r="E129" s="16"/>
      <c r="F129" s="29"/>
      <c r="G129" s="21"/>
      <c r="H129" s="35"/>
      <c r="I129" s="25"/>
      <c r="J129" s="19"/>
      <c r="K129" s="18"/>
      <c r="L129" s="33"/>
      <c r="M129" s="23"/>
      <c r="N129" s="31"/>
      <c r="O129" s="27"/>
      <c r="P129" s="4"/>
      <c r="Q129" s="4"/>
      <c r="R129" s="4"/>
    </row>
    <row r="130" spans="2:18">
      <c r="B130" s="4"/>
      <c r="C130" s="4"/>
      <c r="D130" s="4"/>
      <c r="E130" s="16"/>
      <c r="F130" s="29"/>
      <c r="G130" s="21"/>
      <c r="H130" s="35"/>
      <c r="I130" s="25"/>
      <c r="J130" s="19"/>
      <c r="K130" s="18"/>
      <c r="L130" s="33"/>
      <c r="M130" s="23"/>
      <c r="N130" s="31"/>
      <c r="O130" s="27"/>
      <c r="P130" s="4"/>
      <c r="Q130" s="4"/>
      <c r="R130" s="4"/>
    </row>
    <row r="131" spans="2:18">
      <c r="B131" s="4"/>
      <c r="C131" s="4"/>
      <c r="D131" s="4"/>
      <c r="E131" s="16"/>
      <c r="F131" s="29"/>
      <c r="G131" s="21"/>
      <c r="H131" s="35"/>
      <c r="I131" s="25"/>
      <c r="J131" s="19"/>
      <c r="K131" s="18"/>
      <c r="L131" s="33"/>
      <c r="M131" s="23"/>
      <c r="N131" s="31"/>
      <c r="O131" s="27"/>
      <c r="P131" s="4"/>
      <c r="Q131" s="4"/>
      <c r="R131" s="4"/>
    </row>
    <row r="132" spans="2:18">
      <c r="B132" s="4"/>
      <c r="C132" s="4"/>
      <c r="D132" s="4"/>
      <c r="E132" s="16"/>
      <c r="F132" s="29"/>
      <c r="G132" s="21"/>
      <c r="H132" s="35"/>
      <c r="I132" s="25"/>
      <c r="J132" s="19"/>
      <c r="K132" s="18"/>
      <c r="L132" s="33"/>
      <c r="M132" s="23"/>
      <c r="N132" s="31"/>
      <c r="O132" s="27"/>
      <c r="P132" s="4"/>
      <c r="Q132" s="4"/>
      <c r="R132" s="4"/>
    </row>
    <row r="133" spans="2:18">
      <c r="B133" s="4"/>
      <c r="C133" s="4"/>
      <c r="D133" s="4"/>
      <c r="E133" s="16"/>
      <c r="F133" s="29"/>
      <c r="G133" s="21"/>
      <c r="H133" s="35"/>
      <c r="I133" s="25"/>
      <c r="J133" s="19"/>
      <c r="K133" s="18"/>
      <c r="L133" s="33"/>
      <c r="M133" s="23"/>
      <c r="N133" s="31"/>
      <c r="O133" s="27"/>
      <c r="P133" s="4"/>
      <c r="Q133" s="4"/>
      <c r="R133" s="4"/>
    </row>
    <row r="134" spans="2:18">
      <c r="B134" s="4"/>
      <c r="C134" s="4"/>
      <c r="D134" s="4"/>
      <c r="E134" s="16"/>
      <c r="F134" s="29"/>
      <c r="G134" s="21"/>
      <c r="H134" s="35"/>
      <c r="I134" s="25"/>
      <c r="J134" s="19"/>
      <c r="K134" s="18"/>
      <c r="L134" s="33"/>
      <c r="M134" s="23"/>
      <c r="N134" s="31"/>
      <c r="O134" s="27"/>
      <c r="P134" s="4"/>
      <c r="Q134" s="4"/>
      <c r="R134" s="4"/>
    </row>
    <row r="135" spans="2:18">
      <c r="B135" s="4"/>
      <c r="C135" s="4"/>
      <c r="D135" s="4"/>
      <c r="E135" s="16"/>
      <c r="F135" s="29"/>
      <c r="G135" s="21"/>
      <c r="H135" s="35"/>
      <c r="I135" s="25"/>
      <c r="J135" s="19"/>
      <c r="K135" s="18"/>
      <c r="L135" s="33"/>
      <c r="M135" s="23"/>
      <c r="N135" s="31"/>
      <c r="O135" s="27"/>
      <c r="P135" s="4"/>
      <c r="Q135" s="4"/>
      <c r="R135" s="4"/>
    </row>
    <row r="136" spans="2:18">
      <c r="B136" s="4"/>
      <c r="C136" s="4"/>
      <c r="D136" s="4"/>
      <c r="E136" s="16"/>
      <c r="F136" s="29"/>
      <c r="G136" s="21"/>
      <c r="H136" s="35"/>
      <c r="I136" s="25"/>
      <c r="J136" s="19"/>
      <c r="K136" s="18"/>
      <c r="L136" s="33"/>
      <c r="M136" s="23"/>
      <c r="N136" s="31"/>
      <c r="O136" s="27"/>
      <c r="P136" s="4"/>
      <c r="Q136" s="4"/>
      <c r="R136" s="4"/>
    </row>
    <row r="137" spans="2:18">
      <c r="B137" s="4"/>
      <c r="C137" s="4"/>
      <c r="D137" s="4"/>
      <c r="E137" s="16"/>
      <c r="F137" s="29"/>
      <c r="G137" s="21"/>
      <c r="H137" s="35"/>
      <c r="I137" s="25"/>
      <c r="J137" s="19"/>
      <c r="K137" s="18"/>
      <c r="L137" s="33"/>
      <c r="M137" s="23"/>
      <c r="N137" s="31"/>
      <c r="O137" s="27"/>
      <c r="P137" s="4"/>
      <c r="Q137" s="4"/>
      <c r="R137" s="4"/>
    </row>
    <row r="138" spans="2:18">
      <c r="B138" s="4"/>
      <c r="C138" s="4"/>
      <c r="D138" s="4"/>
      <c r="E138" s="16"/>
      <c r="F138" s="29"/>
      <c r="G138" s="21"/>
      <c r="H138" s="35"/>
      <c r="I138" s="25"/>
      <c r="J138" s="19"/>
      <c r="K138" s="18"/>
      <c r="L138" s="33"/>
      <c r="M138" s="23"/>
      <c r="N138" s="31"/>
      <c r="O138" s="27"/>
      <c r="P138" s="4"/>
      <c r="Q138" s="4"/>
      <c r="R138" s="4"/>
    </row>
    <row r="139" spans="2:18">
      <c r="B139" s="4"/>
      <c r="C139" s="4"/>
      <c r="D139" s="4"/>
      <c r="E139" s="16"/>
      <c r="F139" s="29"/>
      <c r="G139" s="21"/>
      <c r="H139" s="35"/>
      <c r="I139" s="25"/>
      <c r="J139" s="19"/>
      <c r="K139" s="18"/>
      <c r="L139" s="33"/>
      <c r="M139" s="23"/>
      <c r="N139" s="31"/>
      <c r="O139" s="27"/>
      <c r="P139" s="4"/>
      <c r="Q139" s="4"/>
      <c r="R139" s="4"/>
    </row>
    <row r="140" spans="2:18">
      <c r="B140" s="4"/>
      <c r="C140" s="4"/>
      <c r="D140" s="4"/>
      <c r="E140" s="16"/>
      <c r="F140" s="29"/>
      <c r="G140" s="21"/>
      <c r="H140" s="35"/>
      <c r="I140" s="25"/>
      <c r="J140" s="19"/>
      <c r="K140" s="18"/>
      <c r="L140" s="33"/>
      <c r="M140" s="23"/>
      <c r="N140" s="31"/>
      <c r="O140" s="27"/>
      <c r="P140" s="4"/>
      <c r="Q140" s="4"/>
      <c r="R140" s="4"/>
    </row>
    <row r="141" spans="2:18">
      <c r="B141" s="4"/>
      <c r="C141" s="4"/>
      <c r="D141" s="4"/>
      <c r="E141" s="16"/>
      <c r="F141" s="29"/>
      <c r="G141" s="21"/>
      <c r="H141" s="35"/>
      <c r="I141" s="25"/>
      <c r="J141" s="19"/>
      <c r="K141" s="18"/>
      <c r="L141" s="33"/>
      <c r="M141" s="23"/>
      <c r="N141" s="31"/>
      <c r="O141" s="27"/>
      <c r="P141" s="4"/>
      <c r="Q141" s="4"/>
      <c r="R141" s="4"/>
    </row>
    <row r="142" spans="2:18">
      <c r="B142" s="4"/>
      <c r="C142" s="4"/>
      <c r="D142" s="4"/>
      <c r="E142" s="16"/>
      <c r="F142" s="29"/>
      <c r="G142" s="21"/>
      <c r="H142" s="35"/>
      <c r="I142" s="25"/>
      <c r="J142" s="19"/>
      <c r="K142" s="18"/>
      <c r="L142" s="33"/>
      <c r="M142" s="23"/>
      <c r="N142" s="31"/>
      <c r="O142" s="27"/>
      <c r="P142" s="4"/>
      <c r="Q142" s="4"/>
      <c r="R142" s="4"/>
    </row>
    <row r="143" spans="2:18">
      <c r="B143" s="4"/>
      <c r="C143" s="4"/>
      <c r="D143" s="4"/>
      <c r="E143" s="16"/>
      <c r="F143" s="29"/>
      <c r="G143" s="21"/>
      <c r="H143" s="35"/>
      <c r="I143" s="25"/>
      <c r="J143" s="19"/>
      <c r="K143" s="18"/>
      <c r="L143" s="33"/>
      <c r="M143" s="23"/>
      <c r="N143" s="31"/>
      <c r="O143" s="27"/>
      <c r="P143" s="4"/>
      <c r="Q143" s="4"/>
      <c r="R143" s="4"/>
    </row>
    <row r="144" spans="2:18">
      <c r="B144" s="4"/>
      <c r="C144" s="4"/>
      <c r="D144" s="4"/>
      <c r="E144" s="16"/>
      <c r="F144" s="29"/>
      <c r="G144" s="21"/>
      <c r="H144" s="35"/>
      <c r="I144" s="25"/>
      <c r="J144" s="19"/>
      <c r="K144" s="18"/>
      <c r="L144" s="33"/>
      <c r="M144" s="23"/>
      <c r="N144" s="31"/>
      <c r="O144" s="27"/>
      <c r="P144" s="4"/>
      <c r="Q144" s="4"/>
      <c r="R144" s="4"/>
    </row>
    <row r="145" spans="2:18">
      <c r="B145" s="4"/>
      <c r="C145" s="4"/>
      <c r="D145" s="4"/>
      <c r="E145" s="16"/>
      <c r="F145" s="29"/>
      <c r="G145" s="21"/>
      <c r="H145" s="35"/>
      <c r="I145" s="25"/>
      <c r="J145" s="19"/>
      <c r="K145" s="18"/>
      <c r="L145" s="33"/>
      <c r="M145" s="23"/>
      <c r="N145" s="31"/>
      <c r="O145" s="27"/>
      <c r="P145" s="4"/>
      <c r="Q145" s="4"/>
      <c r="R145" s="4"/>
    </row>
    <row r="146" spans="2:18">
      <c r="B146" s="4"/>
      <c r="C146" s="4"/>
      <c r="D146" s="4"/>
      <c r="E146" s="16"/>
      <c r="F146" s="29"/>
      <c r="G146" s="21"/>
      <c r="H146" s="35"/>
      <c r="I146" s="25"/>
      <c r="J146" s="19"/>
      <c r="K146" s="18"/>
      <c r="L146" s="33"/>
      <c r="M146" s="23"/>
      <c r="N146" s="31"/>
      <c r="O146" s="27"/>
      <c r="P146" s="4"/>
      <c r="Q146" s="4"/>
      <c r="R146" s="4"/>
    </row>
    <row r="147" spans="2:18">
      <c r="B147" s="4"/>
      <c r="C147" s="4"/>
      <c r="D147" s="4"/>
      <c r="E147" s="16"/>
      <c r="F147" s="29"/>
      <c r="G147" s="21"/>
      <c r="H147" s="35"/>
      <c r="I147" s="25"/>
      <c r="J147" s="19"/>
      <c r="K147" s="18"/>
      <c r="L147" s="33"/>
      <c r="M147" s="23"/>
      <c r="N147" s="31"/>
      <c r="O147" s="27"/>
      <c r="P147" s="4"/>
      <c r="Q147" s="4"/>
      <c r="R147" s="4"/>
    </row>
    <row r="148" spans="2:18">
      <c r="B148" s="4"/>
      <c r="C148" s="4"/>
      <c r="D148" s="4"/>
      <c r="E148" s="16"/>
      <c r="F148" s="29"/>
      <c r="G148" s="21"/>
      <c r="H148" s="35"/>
      <c r="I148" s="25"/>
      <c r="J148" s="19"/>
      <c r="K148" s="18"/>
      <c r="L148" s="33"/>
      <c r="M148" s="23"/>
      <c r="N148" s="31"/>
      <c r="O148" s="27"/>
      <c r="P148" s="4"/>
      <c r="Q148" s="4"/>
      <c r="R148" s="4"/>
    </row>
    <row r="149" spans="2:18">
      <c r="B149" s="4"/>
      <c r="C149" s="4"/>
      <c r="D149" s="4"/>
      <c r="E149" s="16"/>
      <c r="F149" s="29"/>
      <c r="G149" s="21"/>
      <c r="H149" s="35"/>
      <c r="I149" s="25"/>
      <c r="J149" s="19"/>
      <c r="K149" s="18"/>
      <c r="L149" s="33"/>
      <c r="M149" s="23"/>
      <c r="N149" s="31"/>
      <c r="O149" s="27"/>
      <c r="P149" s="4"/>
      <c r="Q149" s="4"/>
      <c r="R149" s="4"/>
    </row>
    <row r="150" spans="2:18">
      <c r="B150" s="4"/>
      <c r="C150" s="4"/>
      <c r="D150" s="4"/>
      <c r="E150" s="16"/>
      <c r="F150" s="29"/>
      <c r="G150" s="21"/>
      <c r="H150" s="35"/>
      <c r="I150" s="25"/>
      <c r="J150" s="19"/>
      <c r="K150" s="18"/>
      <c r="L150" s="33"/>
      <c r="M150" s="23"/>
      <c r="N150" s="31"/>
      <c r="O150" s="27"/>
      <c r="P150" s="4"/>
      <c r="Q150" s="4"/>
      <c r="R150" s="4"/>
    </row>
    <row r="151" spans="2:18">
      <c r="B151" s="4"/>
      <c r="C151" s="4"/>
      <c r="D151" s="4"/>
      <c r="E151" s="16"/>
      <c r="F151" s="29"/>
      <c r="G151" s="21"/>
      <c r="H151" s="35"/>
      <c r="I151" s="25"/>
      <c r="J151" s="19"/>
      <c r="K151" s="18"/>
      <c r="L151" s="33"/>
      <c r="M151" s="23"/>
      <c r="N151" s="31"/>
      <c r="O151" s="27"/>
      <c r="P151" s="4"/>
      <c r="Q151" s="4"/>
      <c r="R151" s="4"/>
    </row>
    <row r="152" spans="2:18">
      <c r="B152" s="4"/>
      <c r="C152" s="4"/>
      <c r="D152" s="4"/>
      <c r="E152" s="16"/>
      <c r="F152" s="29"/>
      <c r="G152" s="21"/>
      <c r="H152" s="35"/>
      <c r="I152" s="25"/>
      <c r="J152" s="19"/>
      <c r="K152" s="18"/>
      <c r="L152" s="33"/>
      <c r="M152" s="23"/>
      <c r="N152" s="31"/>
      <c r="O152" s="27"/>
      <c r="P152" s="4"/>
      <c r="Q152" s="4"/>
      <c r="R152" s="4"/>
    </row>
    <row r="153" spans="2:18">
      <c r="B153" s="4"/>
      <c r="C153" s="4"/>
      <c r="D153" s="4"/>
      <c r="E153" s="16"/>
      <c r="F153" s="29"/>
      <c r="G153" s="21"/>
      <c r="H153" s="35"/>
      <c r="I153" s="25"/>
      <c r="J153" s="19"/>
      <c r="K153" s="18"/>
      <c r="L153" s="33"/>
      <c r="M153" s="23"/>
      <c r="N153" s="31"/>
      <c r="O153" s="27"/>
      <c r="P153" s="4"/>
      <c r="Q153" s="4"/>
      <c r="R153" s="4"/>
    </row>
    <row r="154" spans="2:18">
      <c r="B154" s="4"/>
      <c r="C154" s="4"/>
      <c r="D154" s="4"/>
      <c r="E154" s="16"/>
      <c r="F154" s="29"/>
      <c r="G154" s="21"/>
      <c r="H154" s="35"/>
      <c r="I154" s="25"/>
      <c r="J154" s="19"/>
      <c r="K154" s="18"/>
      <c r="L154" s="33"/>
      <c r="M154" s="23"/>
      <c r="N154" s="31"/>
      <c r="O154" s="27"/>
      <c r="P154" s="4"/>
      <c r="Q154" s="4"/>
      <c r="R154" s="4"/>
    </row>
    <row r="155" spans="2:18">
      <c r="B155" s="4"/>
      <c r="C155" s="4"/>
      <c r="D155" s="4"/>
      <c r="E155" s="16"/>
      <c r="F155" s="29"/>
      <c r="G155" s="21"/>
      <c r="H155" s="35"/>
      <c r="I155" s="25"/>
      <c r="J155" s="19"/>
      <c r="K155" s="18"/>
      <c r="L155" s="33"/>
      <c r="M155" s="23"/>
      <c r="N155" s="31"/>
      <c r="O155" s="27"/>
      <c r="P155" s="4"/>
      <c r="Q155" s="4"/>
      <c r="R155" s="4"/>
    </row>
    <row r="156" spans="2:18">
      <c r="B156" s="4"/>
      <c r="C156" s="4"/>
      <c r="D156" s="4"/>
      <c r="E156" s="16"/>
      <c r="F156" s="29"/>
      <c r="G156" s="21"/>
      <c r="H156" s="35"/>
      <c r="I156" s="25"/>
      <c r="J156" s="19"/>
      <c r="K156" s="18"/>
      <c r="L156" s="33"/>
      <c r="M156" s="23"/>
      <c r="N156" s="31"/>
      <c r="O156" s="27"/>
      <c r="P156" s="4"/>
      <c r="Q156" s="4"/>
      <c r="R156" s="4"/>
    </row>
    <row r="157" spans="2:18">
      <c r="B157" s="4"/>
      <c r="C157" s="4"/>
      <c r="D157" s="4"/>
      <c r="E157" s="16"/>
      <c r="F157" s="29"/>
      <c r="G157" s="21"/>
      <c r="H157" s="35"/>
      <c r="I157" s="25"/>
      <c r="J157" s="19"/>
      <c r="K157" s="18"/>
      <c r="L157" s="33"/>
      <c r="M157" s="23"/>
      <c r="N157" s="31"/>
      <c r="O157" s="27"/>
      <c r="P157" s="4"/>
      <c r="Q157" s="4"/>
      <c r="R157" s="4"/>
    </row>
    <row r="158" spans="2:18">
      <c r="B158" s="4"/>
      <c r="C158" s="4"/>
      <c r="D158" s="4"/>
      <c r="E158" s="16"/>
      <c r="F158" s="29"/>
      <c r="G158" s="21"/>
      <c r="H158" s="35"/>
      <c r="I158" s="25"/>
      <c r="J158" s="19"/>
      <c r="K158" s="18"/>
      <c r="L158" s="33"/>
      <c r="M158" s="23"/>
      <c r="N158" s="31"/>
      <c r="O158" s="27"/>
      <c r="P158" s="4"/>
      <c r="Q158" s="4"/>
      <c r="R158" s="4"/>
    </row>
    <row r="159" spans="2:18">
      <c r="B159" s="4"/>
      <c r="C159" s="4"/>
      <c r="D159" s="4"/>
      <c r="E159" s="16"/>
      <c r="F159" s="29"/>
      <c r="G159" s="21"/>
      <c r="H159" s="35"/>
      <c r="I159" s="25"/>
      <c r="J159" s="19"/>
      <c r="K159" s="18"/>
      <c r="L159" s="33"/>
      <c r="M159" s="23"/>
      <c r="N159" s="31"/>
      <c r="O159" s="27"/>
      <c r="P159" s="4"/>
      <c r="Q159" s="4"/>
      <c r="R159" s="4"/>
    </row>
    <row r="160" spans="2:18">
      <c r="B160" s="4"/>
      <c r="C160" s="4"/>
      <c r="D160" s="4"/>
      <c r="E160" s="16"/>
      <c r="F160" s="29"/>
      <c r="G160" s="21"/>
      <c r="H160" s="35"/>
      <c r="I160" s="25"/>
      <c r="J160" s="19"/>
      <c r="K160" s="18"/>
      <c r="L160" s="33"/>
      <c r="M160" s="23"/>
      <c r="N160" s="31"/>
      <c r="O160" s="27"/>
      <c r="P160" s="4"/>
      <c r="Q160" s="4"/>
      <c r="R160" s="4"/>
    </row>
    <row r="161" spans="2:18">
      <c r="B161" s="4"/>
      <c r="C161" s="4"/>
      <c r="D161" s="4"/>
      <c r="E161" s="16"/>
      <c r="F161" s="29"/>
      <c r="G161" s="21"/>
      <c r="H161" s="35"/>
      <c r="I161" s="25"/>
      <c r="J161" s="19"/>
      <c r="K161" s="18"/>
      <c r="L161" s="33"/>
      <c r="M161" s="23"/>
      <c r="N161" s="31"/>
      <c r="O161" s="27"/>
      <c r="P161" s="4"/>
      <c r="Q161" s="4"/>
      <c r="R161" s="4"/>
    </row>
    <row r="162" spans="2:18">
      <c r="B162" s="4"/>
      <c r="C162" s="4"/>
      <c r="D162" s="4"/>
      <c r="E162" s="16"/>
      <c r="F162" s="29"/>
      <c r="G162" s="21"/>
      <c r="H162" s="35"/>
      <c r="I162" s="25"/>
      <c r="J162" s="19"/>
      <c r="K162" s="18"/>
      <c r="L162" s="33"/>
      <c r="M162" s="23"/>
      <c r="N162" s="31"/>
      <c r="O162" s="27"/>
      <c r="P162" s="4"/>
      <c r="Q162" s="4"/>
      <c r="R162" s="4"/>
    </row>
    <row r="163" spans="2:18">
      <c r="B163" s="4"/>
      <c r="C163" s="4"/>
      <c r="D163" s="4"/>
      <c r="E163" s="16"/>
      <c r="F163" s="29"/>
      <c r="G163" s="21"/>
      <c r="H163" s="35"/>
      <c r="I163" s="25"/>
      <c r="J163" s="19"/>
      <c r="K163" s="18"/>
      <c r="L163" s="33"/>
      <c r="M163" s="23"/>
      <c r="N163" s="31"/>
      <c r="O163" s="27"/>
      <c r="P163" s="4"/>
      <c r="Q163" s="4"/>
      <c r="R163" s="4"/>
    </row>
    <row r="164" spans="2:18">
      <c r="B164" s="4"/>
      <c r="C164" s="4"/>
      <c r="D164" s="4"/>
      <c r="E164" s="16"/>
      <c r="F164" s="29"/>
      <c r="G164" s="21"/>
      <c r="H164" s="35"/>
      <c r="I164" s="25"/>
      <c r="J164" s="19"/>
      <c r="K164" s="18"/>
      <c r="L164" s="33"/>
      <c r="M164" s="23"/>
      <c r="N164" s="31"/>
      <c r="O164" s="27"/>
      <c r="P164" s="4"/>
      <c r="Q164" s="4"/>
      <c r="R164" s="4"/>
    </row>
    <row r="165" spans="2:18">
      <c r="B165" s="4"/>
      <c r="C165" s="4"/>
      <c r="D165" s="4"/>
      <c r="E165" s="16"/>
      <c r="F165" s="29"/>
      <c r="G165" s="21"/>
      <c r="H165" s="35"/>
      <c r="I165" s="25"/>
      <c r="J165" s="19"/>
      <c r="K165" s="18"/>
      <c r="L165" s="33"/>
      <c r="M165" s="23"/>
      <c r="N165" s="31"/>
      <c r="O165" s="27"/>
      <c r="P165" s="4"/>
      <c r="Q165" s="4"/>
      <c r="R165" s="4"/>
    </row>
    <row r="166" spans="2:18">
      <c r="B166" s="4"/>
      <c r="C166" s="4"/>
      <c r="D166" s="4"/>
      <c r="E166" s="16"/>
      <c r="F166" s="29"/>
      <c r="G166" s="21"/>
      <c r="H166" s="35"/>
      <c r="I166" s="25"/>
      <c r="J166" s="19"/>
      <c r="K166" s="18"/>
      <c r="L166" s="33"/>
      <c r="M166" s="23"/>
      <c r="N166" s="31"/>
      <c r="O166" s="27"/>
      <c r="P166" s="4"/>
      <c r="Q166" s="4"/>
      <c r="R166" s="4"/>
    </row>
    <row r="167" spans="2:18">
      <c r="B167" s="4"/>
      <c r="C167" s="4"/>
      <c r="D167" s="4"/>
      <c r="E167" s="16"/>
      <c r="F167" s="29"/>
      <c r="G167" s="21"/>
      <c r="H167" s="35"/>
      <c r="I167" s="25"/>
      <c r="J167" s="19"/>
      <c r="K167" s="18"/>
      <c r="L167" s="33"/>
      <c r="M167" s="23"/>
      <c r="N167" s="31"/>
      <c r="O167" s="27"/>
      <c r="P167" s="4"/>
      <c r="Q167" s="4"/>
      <c r="R167" s="4"/>
    </row>
    <row r="168" spans="2:18">
      <c r="B168" s="4"/>
      <c r="C168" s="4"/>
      <c r="D168" s="4"/>
      <c r="E168" s="16"/>
      <c r="F168" s="29"/>
      <c r="G168" s="21"/>
      <c r="H168" s="35"/>
      <c r="I168" s="25"/>
      <c r="J168" s="19"/>
      <c r="K168" s="18"/>
      <c r="L168" s="33"/>
      <c r="M168" s="23"/>
      <c r="N168" s="31"/>
      <c r="O168" s="27"/>
      <c r="P168" s="4"/>
      <c r="Q168" s="4"/>
      <c r="R168" s="4"/>
    </row>
    <row r="169" spans="2:18">
      <c r="B169" s="4"/>
      <c r="C169" s="4"/>
      <c r="D169" s="4"/>
      <c r="E169" s="16"/>
      <c r="F169" s="29"/>
      <c r="G169" s="21"/>
      <c r="H169" s="35"/>
      <c r="I169" s="25"/>
      <c r="J169" s="19"/>
      <c r="K169" s="18"/>
      <c r="L169" s="33"/>
      <c r="M169" s="23"/>
      <c r="N169" s="31"/>
      <c r="O169" s="27"/>
      <c r="P169" s="4"/>
      <c r="Q169" s="4"/>
      <c r="R169" s="4"/>
    </row>
    <row r="170" spans="2:18">
      <c r="B170" s="4"/>
      <c r="C170" s="4"/>
      <c r="D170" s="4"/>
      <c r="E170" s="16"/>
      <c r="F170" s="29"/>
      <c r="G170" s="21"/>
      <c r="H170" s="35"/>
      <c r="I170" s="25"/>
      <c r="J170" s="19"/>
      <c r="K170" s="18"/>
      <c r="L170" s="33"/>
      <c r="M170" s="23"/>
      <c r="N170" s="31"/>
      <c r="O170" s="27"/>
      <c r="P170" s="4"/>
      <c r="Q170" s="4"/>
      <c r="R170" s="4"/>
    </row>
    <row r="171" spans="2:18">
      <c r="B171" s="4"/>
      <c r="C171" s="4"/>
      <c r="D171" s="4"/>
      <c r="E171" s="16"/>
      <c r="F171" s="29"/>
      <c r="G171" s="21"/>
      <c r="H171" s="35"/>
      <c r="I171" s="25"/>
      <c r="J171" s="19"/>
      <c r="K171" s="18"/>
      <c r="L171" s="33"/>
      <c r="M171" s="23"/>
      <c r="N171" s="31"/>
      <c r="O171" s="27"/>
      <c r="P171" s="4"/>
      <c r="Q171" s="4"/>
      <c r="R171" s="4"/>
    </row>
    <row r="172" spans="2:18">
      <c r="B172" s="4"/>
      <c r="C172" s="4"/>
      <c r="D172" s="4"/>
      <c r="E172" s="16"/>
      <c r="F172" s="29"/>
      <c r="G172" s="21"/>
      <c r="H172" s="35"/>
      <c r="I172" s="25"/>
      <c r="J172" s="19"/>
      <c r="K172" s="18"/>
      <c r="L172" s="33"/>
      <c r="M172" s="23"/>
      <c r="N172" s="31"/>
      <c r="O172" s="27"/>
      <c r="P172" s="4"/>
      <c r="Q172" s="4"/>
      <c r="R172" s="4"/>
    </row>
    <row r="173" spans="2:18">
      <c r="B173" s="4"/>
      <c r="C173" s="4"/>
      <c r="D173" s="4"/>
      <c r="E173" s="16"/>
      <c r="F173" s="29"/>
      <c r="G173" s="21"/>
      <c r="H173" s="35"/>
      <c r="I173" s="25"/>
      <c r="J173" s="19"/>
      <c r="K173" s="18"/>
      <c r="L173" s="33"/>
      <c r="M173" s="23"/>
      <c r="N173" s="31"/>
      <c r="O173" s="27"/>
      <c r="P173" s="4"/>
      <c r="Q173" s="4"/>
      <c r="R173" s="4"/>
    </row>
    <row r="174" spans="2:18">
      <c r="B174" s="4"/>
      <c r="C174" s="4"/>
      <c r="D174" s="4"/>
      <c r="E174" s="16"/>
      <c r="F174" s="29"/>
      <c r="G174" s="21"/>
      <c r="H174" s="35"/>
      <c r="I174" s="25"/>
      <c r="J174" s="19"/>
      <c r="K174" s="18"/>
      <c r="L174" s="33"/>
      <c r="M174" s="23"/>
      <c r="N174" s="31"/>
      <c r="O174" s="27"/>
      <c r="P174" s="4"/>
      <c r="Q174" s="4"/>
      <c r="R174" s="4"/>
    </row>
    <row r="175" spans="2:18">
      <c r="B175" s="4"/>
      <c r="C175" s="4"/>
      <c r="D175" s="4"/>
      <c r="E175" s="16"/>
      <c r="F175" s="29"/>
      <c r="G175" s="21"/>
      <c r="H175" s="35"/>
      <c r="I175" s="25"/>
      <c r="J175" s="19"/>
      <c r="K175" s="18"/>
      <c r="L175" s="33"/>
      <c r="M175" s="23"/>
      <c r="N175" s="31"/>
      <c r="O175" s="27"/>
      <c r="P175" s="4"/>
      <c r="Q175" s="4"/>
      <c r="R175" s="4"/>
    </row>
    <row r="176" spans="2:18">
      <c r="B176" s="4"/>
      <c r="C176" s="4"/>
      <c r="D176" s="4"/>
      <c r="E176" s="16"/>
      <c r="F176" s="29"/>
      <c r="G176" s="21"/>
      <c r="H176" s="35"/>
      <c r="I176" s="25"/>
      <c r="J176" s="19"/>
      <c r="K176" s="18"/>
      <c r="L176" s="33"/>
      <c r="M176" s="23"/>
      <c r="N176" s="31"/>
      <c r="O176" s="27"/>
      <c r="P176" s="4"/>
      <c r="Q176" s="4"/>
      <c r="R176" s="4"/>
    </row>
    <row r="177" spans="2:18">
      <c r="B177" s="4"/>
      <c r="C177" s="4"/>
      <c r="D177" s="4"/>
      <c r="E177" s="16"/>
      <c r="F177" s="29"/>
      <c r="G177" s="21"/>
      <c r="H177" s="35"/>
      <c r="I177" s="25"/>
      <c r="J177" s="19"/>
      <c r="K177" s="18"/>
      <c r="L177" s="33"/>
      <c r="M177" s="23"/>
      <c r="N177" s="31"/>
      <c r="O177" s="27"/>
      <c r="P177" s="4"/>
      <c r="Q177" s="4"/>
      <c r="R177" s="4"/>
    </row>
    <row r="178" spans="2:18">
      <c r="B178" s="4"/>
      <c r="C178" s="4"/>
      <c r="D178" s="4"/>
      <c r="E178" s="16"/>
      <c r="F178" s="29"/>
      <c r="G178" s="21"/>
      <c r="H178" s="35"/>
      <c r="I178" s="25"/>
      <c r="J178" s="19"/>
      <c r="K178" s="18"/>
      <c r="L178" s="33"/>
      <c r="M178" s="23"/>
      <c r="N178" s="31"/>
      <c r="O178" s="27"/>
      <c r="P178" s="4"/>
      <c r="Q178" s="4"/>
      <c r="R178" s="4"/>
    </row>
    <row r="179" spans="2:18">
      <c r="B179" s="4"/>
      <c r="C179" s="4"/>
      <c r="D179" s="4"/>
      <c r="E179" s="16"/>
      <c r="F179" s="29"/>
      <c r="G179" s="21"/>
      <c r="H179" s="35"/>
      <c r="I179" s="25"/>
      <c r="J179" s="19"/>
      <c r="K179" s="18"/>
      <c r="L179" s="33"/>
      <c r="M179" s="23"/>
      <c r="N179" s="31"/>
      <c r="O179" s="27"/>
      <c r="P179" s="4"/>
      <c r="Q179" s="4"/>
      <c r="R179" s="4"/>
    </row>
    <row r="180" spans="2:18">
      <c r="B180" s="4"/>
      <c r="C180" s="4"/>
      <c r="D180" s="4"/>
      <c r="E180" s="16"/>
      <c r="F180" s="29"/>
      <c r="G180" s="21"/>
      <c r="H180" s="35"/>
      <c r="I180" s="25"/>
      <c r="J180" s="19"/>
      <c r="K180" s="18"/>
      <c r="L180" s="33"/>
      <c r="M180" s="23"/>
      <c r="N180" s="31"/>
      <c r="O180" s="27"/>
      <c r="P180" s="4"/>
      <c r="Q180" s="4"/>
      <c r="R180" s="4"/>
    </row>
    <row r="181" spans="2:18">
      <c r="B181" s="4"/>
      <c r="C181" s="4"/>
      <c r="D181" s="4"/>
      <c r="E181" s="16"/>
      <c r="F181" s="29"/>
      <c r="G181" s="21"/>
      <c r="H181" s="35"/>
      <c r="I181" s="25"/>
      <c r="J181" s="19"/>
      <c r="K181" s="18"/>
      <c r="L181" s="33"/>
      <c r="M181" s="23"/>
      <c r="N181" s="31"/>
      <c r="O181" s="27"/>
      <c r="P181" s="4"/>
      <c r="Q181" s="4"/>
      <c r="R181" s="4"/>
    </row>
    <row r="182" spans="2:18">
      <c r="B182" s="4"/>
      <c r="C182" s="4"/>
      <c r="D182" s="4"/>
      <c r="E182" s="16"/>
      <c r="F182" s="29"/>
      <c r="G182" s="21"/>
      <c r="H182" s="35"/>
      <c r="I182" s="25"/>
      <c r="J182" s="19"/>
      <c r="K182" s="18"/>
      <c r="L182" s="33"/>
      <c r="M182" s="23"/>
      <c r="N182" s="31"/>
      <c r="O182" s="27"/>
      <c r="P182" s="4"/>
      <c r="Q182" s="4"/>
      <c r="R182" s="4"/>
    </row>
    <row r="183" spans="2:18">
      <c r="B183" s="4"/>
      <c r="C183" s="4"/>
      <c r="D183" s="4"/>
      <c r="E183" s="16"/>
      <c r="F183" s="29"/>
      <c r="G183" s="21"/>
      <c r="H183" s="35"/>
      <c r="I183" s="25"/>
      <c r="J183" s="19"/>
      <c r="K183" s="18"/>
      <c r="L183" s="33"/>
      <c r="M183" s="23"/>
      <c r="N183" s="31"/>
      <c r="O183" s="27"/>
      <c r="P183" s="4"/>
      <c r="Q183" s="4"/>
      <c r="R183" s="4"/>
    </row>
    <row r="184" spans="2:18">
      <c r="B184" s="4"/>
      <c r="C184" s="4"/>
      <c r="D184" s="4"/>
      <c r="E184" s="16"/>
      <c r="F184" s="29"/>
      <c r="G184" s="21"/>
      <c r="H184" s="35"/>
      <c r="I184" s="25"/>
      <c r="J184" s="19"/>
      <c r="K184" s="18"/>
      <c r="L184" s="33"/>
      <c r="M184" s="23"/>
      <c r="N184" s="31"/>
      <c r="O184" s="27"/>
      <c r="P184" s="4"/>
      <c r="Q184" s="4"/>
      <c r="R184" s="4"/>
    </row>
    <row r="185" spans="2:18">
      <c r="B185" s="4"/>
      <c r="C185" s="4"/>
      <c r="D185" s="4"/>
      <c r="E185" s="16"/>
      <c r="F185" s="29"/>
      <c r="G185" s="21"/>
      <c r="H185" s="35"/>
      <c r="I185" s="25"/>
      <c r="J185" s="19"/>
      <c r="K185" s="18"/>
      <c r="L185" s="33"/>
      <c r="M185" s="23"/>
      <c r="N185" s="31"/>
      <c r="O185" s="27"/>
      <c r="P185" s="4"/>
      <c r="Q185" s="4"/>
      <c r="R185" s="4"/>
    </row>
    <row r="186" spans="2:18">
      <c r="B186" s="4"/>
      <c r="C186" s="4"/>
      <c r="D186" s="4"/>
      <c r="E186" s="16"/>
      <c r="F186" s="29"/>
      <c r="G186" s="21"/>
      <c r="H186" s="35"/>
      <c r="I186" s="25"/>
      <c r="J186" s="19"/>
      <c r="K186" s="18"/>
      <c r="L186" s="33"/>
      <c r="M186" s="23"/>
      <c r="N186" s="31"/>
      <c r="O186" s="27"/>
      <c r="P186" s="4"/>
      <c r="Q186" s="4"/>
      <c r="R186" s="4"/>
    </row>
    <row r="187" spans="2:18">
      <c r="B187" s="4"/>
      <c r="C187" s="4"/>
      <c r="D187" s="4"/>
      <c r="E187" s="16"/>
      <c r="F187" s="29"/>
      <c r="G187" s="21"/>
      <c r="H187" s="35"/>
      <c r="I187" s="25"/>
      <c r="J187" s="19"/>
      <c r="K187" s="18"/>
      <c r="L187" s="33"/>
      <c r="M187" s="23"/>
      <c r="N187" s="31"/>
      <c r="O187" s="27"/>
      <c r="P187" s="4"/>
      <c r="Q187" s="4"/>
      <c r="R187" s="4"/>
    </row>
    <row r="188" spans="2:18">
      <c r="B188" s="4"/>
      <c r="C188" s="4"/>
      <c r="D188" s="4"/>
      <c r="E188" s="16"/>
      <c r="F188" s="29"/>
      <c r="G188" s="21"/>
      <c r="H188" s="35"/>
      <c r="I188" s="25"/>
      <c r="J188" s="19"/>
      <c r="K188" s="18"/>
      <c r="L188" s="33"/>
      <c r="M188" s="23"/>
      <c r="N188" s="31"/>
      <c r="O188" s="27"/>
      <c r="P188" s="4"/>
      <c r="Q188" s="4"/>
      <c r="R188" s="4"/>
    </row>
    <row r="189" spans="2:18">
      <c r="B189" s="4"/>
      <c r="C189" s="4"/>
      <c r="D189" s="4"/>
      <c r="E189" s="16"/>
      <c r="F189" s="29"/>
      <c r="G189" s="21"/>
      <c r="H189" s="35"/>
      <c r="I189" s="25"/>
      <c r="J189" s="19"/>
      <c r="K189" s="18"/>
      <c r="L189" s="33"/>
      <c r="M189" s="23"/>
      <c r="N189" s="31"/>
      <c r="O189" s="27"/>
      <c r="P189" s="4"/>
      <c r="Q189" s="4"/>
      <c r="R189" s="4"/>
    </row>
    <row r="190" spans="2:18">
      <c r="B190" s="4"/>
      <c r="C190" s="4"/>
      <c r="D190" s="4"/>
      <c r="E190" s="16"/>
      <c r="F190" s="29"/>
      <c r="G190" s="21"/>
      <c r="H190" s="35"/>
      <c r="I190" s="25"/>
      <c r="J190" s="19"/>
      <c r="K190" s="18"/>
      <c r="L190" s="33"/>
      <c r="M190" s="23"/>
      <c r="N190" s="31"/>
      <c r="O190" s="27"/>
      <c r="P190" s="4"/>
      <c r="Q190" s="4"/>
      <c r="R190" s="4"/>
    </row>
    <row r="191" spans="2:18">
      <c r="B191" s="4"/>
      <c r="C191" s="4"/>
      <c r="D191" s="4"/>
      <c r="E191" s="16"/>
      <c r="F191" s="29"/>
      <c r="G191" s="21"/>
      <c r="H191" s="35"/>
      <c r="I191" s="25"/>
      <c r="J191" s="19"/>
      <c r="K191" s="18"/>
      <c r="L191" s="33"/>
      <c r="M191" s="23"/>
      <c r="N191" s="31"/>
      <c r="O191" s="27"/>
      <c r="P191" s="4"/>
      <c r="Q191" s="4"/>
      <c r="R191" s="4"/>
    </row>
    <row r="192" spans="2:18">
      <c r="B192" s="4"/>
      <c r="C192" s="4"/>
      <c r="D192" s="4"/>
      <c r="E192" s="16"/>
      <c r="F192" s="29"/>
      <c r="G192" s="21"/>
      <c r="H192" s="35"/>
      <c r="I192" s="25"/>
      <c r="J192" s="19"/>
      <c r="K192" s="18"/>
      <c r="L192" s="33"/>
      <c r="M192" s="23"/>
      <c r="N192" s="31"/>
      <c r="O192" s="27"/>
      <c r="P192" s="4"/>
      <c r="Q192" s="4"/>
      <c r="R192" s="4"/>
    </row>
    <row r="193" spans="2:18">
      <c r="B193" s="4"/>
      <c r="C193" s="4"/>
      <c r="D193" s="4"/>
      <c r="E193" s="16"/>
      <c r="F193" s="29"/>
      <c r="G193" s="21"/>
      <c r="H193" s="35"/>
      <c r="I193" s="25"/>
      <c r="J193" s="19"/>
      <c r="K193" s="18"/>
      <c r="L193" s="33"/>
      <c r="M193" s="23"/>
      <c r="N193" s="31"/>
      <c r="O193" s="27"/>
      <c r="P193" s="4"/>
      <c r="Q193" s="4"/>
      <c r="R193" s="4"/>
    </row>
    <row r="194" spans="2:18">
      <c r="B194" s="4"/>
      <c r="C194" s="4"/>
      <c r="D194" s="4"/>
      <c r="E194" s="16"/>
      <c r="F194" s="29"/>
      <c r="G194" s="21"/>
      <c r="H194" s="35"/>
      <c r="I194" s="25"/>
      <c r="J194" s="19"/>
      <c r="K194" s="18"/>
      <c r="L194" s="33"/>
      <c r="M194" s="23"/>
      <c r="N194" s="31"/>
      <c r="O194" s="27"/>
      <c r="P194" s="4"/>
      <c r="Q194" s="4"/>
      <c r="R194" s="4"/>
    </row>
    <row r="195" spans="2:18">
      <c r="B195" s="4"/>
      <c r="C195" s="4"/>
      <c r="D195" s="4"/>
      <c r="E195" s="16"/>
      <c r="F195" s="29"/>
      <c r="G195" s="21"/>
      <c r="H195" s="35"/>
      <c r="I195" s="25"/>
      <c r="J195" s="19"/>
      <c r="K195" s="18"/>
      <c r="L195" s="33"/>
      <c r="M195" s="23"/>
      <c r="N195" s="31"/>
      <c r="O195" s="27"/>
      <c r="P195" s="4"/>
      <c r="Q195" s="4"/>
      <c r="R195" s="4"/>
    </row>
    <row r="196" spans="2:18">
      <c r="B196" s="4"/>
      <c r="C196" s="4"/>
      <c r="D196" s="4"/>
      <c r="E196" s="16"/>
      <c r="F196" s="29"/>
      <c r="G196" s="21"/>
      <c r="H196" s="35"/>
      <c r="I196" s="25"/>
      <c r="J196" s="19"/>
      <c r="K196" s="18"/>
      <c r="L196" s="33"/>
      <c r="M196" s="23"/>
      <c r="N196" s="31"/>
      <c r="O196" s="27"/>
      <c r="P196" s="4"/>
      <c r="Q196" s="4"/>
      <c r="R196" s="4"/>
    </row>
    <row r="197" spans="2:18">
      <c r="B197" s="4"/>
      <c r="C197" s="4"/>
      <c r="D197" s="4"/>
      <c r="E197" s="16"/>
      <c r="F197" s="29"/>
      <c r="G197" s="21"/>
      <c r="H197" s="35"/>
      <c r="I197" s="25"/>
      <c r="J197" s="19"/>
      <c r="K197" s="18"/>
      <c r="L197" s="33"/>
      <c r="M197" s="23"/>
      <c r="N197" s="31"/>
      <c r="O197" s="27"/>
      <c r="P197" s="4"/>
      <c r="Q197" s="4"/>
      <c r="R197" s="4"/>
    </row>
    <row r="198" spans="2:18">
      <c r="B198" s="4"/>
      <c r="C198" s="4"/>
      <c r="D198" s="4"/>
      <c r="E198" s="16"/>
      <c r="F198" s="29"/>
      <c r="G198" s="21"/>
      <c r="H198" s="35"/>
      <c r="I198" s="25"/>
      <c r="J198" s="19"/>
      <c r="K198" s="18"/>
      <c r="L198" s="33"/>
      <c r="M198" s="23"/>
      <c r="N198" s="31"/>
      <c r="O198" s="27"/>
      <c r="P198" s="4"/>
      <c r="Q198" s="4"/>
      <c r="R198" s="4"/>
    </row>
    <row r="199" spans="2:18">
      <c r="B199" s="4"/>
      <c r="C199" s="4"/>
      <c r="D199" s="4"/>
      <c r="E199" s="16"/>
      <c r="F199" s="29"/>
      <c r="G199" s="21"/>
      <c r="H199" s="35"/>
      <c r="I199" s="25"/>
      <c r="J199" s="19"/>
      <c r="K199" s="18"/>
      <c r="L199" s="33"/>
      <c r="M199" s="23"/>
      <c r="N199" s="31"/>
      <c r="O199" s="27"/>
      <c r="P199" s="4"/>
      <c r="Q199" s="4"/>
      <c r="R199" s="4"/>
    </row>
    <row r="200" spans="2:18">
      <c r="B200" s="4"/>
      <c r="C200" s="4"/>
      <c r="D200" s="4"/>
      <c r="E200" s="16"/>
      <c r="F200" s="29"/>
      <c r="G200" s="21"/>
      <c r="H200" s="35"/>
      <c r="I200" s="25"/>
      <c r="J200" s="19"/>
      <c r="K200" s="18"/>
      <c r="L200" s="33"/>
      <c r="M200" s="23"/>
      <c r="N200" s="31"/>
      <c r="O200" s="27"/>
      <c r="P200" s="4"/>
      <c r="Q200" s="4"/>
      <c r="R200" s="4"/>
    </row>
    <row r="201" spans="2:18">
      <c r="B201" s="4"/>
      <c r="C201" s="4"/>
      <c r="D201" s="4"/>
      <c r="E201" s="16"/>
      <c r="F201" s="29"/>
      <c r="G201" s="21"/>
      <c r="H201" s="35"/>
      <c r="I201" s="25"/>
      <c r="J201" s="19"/>
      <c r="K201" s="18"/>
      <c r="L201" s="33"/>
      <c r="M201" s="23"/>
      <c r="N201" s="31"/>
      <c r="O201" s="27"/>
      <c r="P201" s="4"/>
      <c r="Q201" s="4"/>
      <c r="R201" s="4"/>
    </row>
    <row r="202" spans="2:18">
      <c r="B202" s="4"/>
      <c r="C202" s="4"/>
      <c r="D202" s="4"/>
      <c r="E202" s="16"/>
      <c r="F202" s="29"/>
      <c r="G202" s="21"/>
      <c r="H202" s="35"/>
      <c r="I202" s="25"/>
      <c r="J202" s="19"/>
      <c r="K202" s="18"/>
      <c r="L202" s="33"/>
      <c r="M202" s="23"/>
      <c r="N202" s="31"/>
      <c r="O202" s="27"/>
      <c r="P202" s="4"/>
      <c r="Q202" s="4"/>
      <c r="R202" s="4"/>
    </row>
    <row r="203" spans="2:18">
      <c r="B203" s="4"/>
      <c r="C203" s="4"/>
      <c r="D203" s="4"/>
      <c r="E203" s="16"/>
      <c r="F203" s="29"/>
      <c r="G203" s="21"/>
      <c r="H203" s="35"/>
      <c r="I203" s="25"/>
      <c r="J203" s="19"/>
      <c r="K203" s="18"/>
      <c r="L203" s="33"/>
      <c r="M203" s="23"/>
      <c r="N203" s="31"/>
      <c r="O203" s="27"/>
      <c r="P203" s="4"/>
      <c r="Q203" s="4"/>
      <c r="R203" s="4"/>
    </row>
    <row r="204" spans="2:18">
      <c r="B204" s="4"/>
      <c r="C204" s="4"/>
      <c r="D204" s="4"/>
      <c r="E204" s="16"/>
      <c r="F204" s="29"/>
      <c r="G204" s="21"/>
      <c r="H204" s="35"/>
      <c r="I204" s="25"/>
      <c r="J204" s="19"/>
      <c r="K204" s="18"/>
      <c r="L204" s="33"/>
      <c r="M204" s="23"/>
      <c r="N204" s="31"/>
      <c r="O204" s="27"/>
      <c r="P204" s="4"/>
      <c r="Q204" s="4"/>
      <c r="R204" s="4"/>
    </row>
    <row r="205" spans="2:18">
      <c r="B205" s="4"/>
      <c r="C205" s="4"/>
      <c r="D205" s="4"/>
      <c r="E205" s="16"/>
      <c r="F205" s="29"/>
      <c r="G205" s="21"/>
      <c r="H205" s="35"/>
      <c r="I205" s="25"/>
      <c r="J205" s="19"/>
      <c r="K205" s="18"/>
      <c r="L205" s="33"/>
      <c r="M205" s="23"/>
      <c r="N205" s="31"/>
      <c r="O205" s="27"/>
      <c r="P205" s="4"/>
      <c r="Q205" s="4"/>
      <c r="R205" s="4"/>
    </row>
    <row r="206" spans="2:18">
      <c r="B206" s="4"/>
      <c r="C206" s="4"/>
      <c r="D206" s="4"/>
      <c r="E206" s="16"/>
      <c r="F206" s="29"/>
      <c r="G206" s="21"/>
      <c r="H206" s="35"/>
      <c r="I206" s="25"/>
      <c r="J206" s="19"/>
      <c r="K206" s="18"/>
      <c r="L206" s="33"/>
      <c r="M206" s="23"/>
      <c r="N206" s="31"/>
      <c r="O206" s="27"/>
      <c r="P206" s="4"/>
      <c r="Q206" s="4"/>
      <c r="R206" s="4"/>
    </row>
    <row r="207" spans="2:18">
      <c r="B207" s="4"/>
      <c r="C207" s="4"/>
      <c r="D207" s="4"/>
      <c r="E207" s="16"/>
      <c r="F207" s="29"/>
      <c r="G207" s="21"/>
      <c r="H207" s="35"/>
      <c r="I207" s="25"/>
      <c r="J207" s="19"/>
      <c r="K207" s="18"/>
      <c r="L207" s="33"/>
      <c r="M207" s="23"/>
      <c r="N207" s="31"/>
      <c r="O207" s="27"/>
      <c r="P207" s="4"/>
      <c r="Q207" s="4"/>
      <c r="R207" s="4"/>
    </row>
    <row r="208" spans="2:18">
      <c r="B208" s="4"/>
      <c r="C208" s="4"/>
      <c r="D208" s="4"/>
      <c r="E208" s="16"/>
      <c r="F208" s="29"/>
      <c r="G208" s="21"/>
      <c r="H208" s="35"/>
      <c r="I208" s="25"/>
      <c r="J208" s="19"/>
      <c r="K208" s="18"/>
      <c r="L208" s="33"/>
      <c r="M208" s="23"/>
      <c r="N208" s="31"/>
      <c r="O208" s="27"/>
      <c r="P208" s="4"/>
      <c r="Q208" s="4"/>
      <c r="R208" s="4"/>
    </row>
    <row r="209" spans="2:18">
      <c r="B209" s="4"/>
      <c r="C209" s="4"/>
      <c r="D209" s="4"/>
      <c r="E209" s="16"/>
      <c r="F209" s="29"/>
      <c r="G209" s="21"/>
      <c r="H209" s="35"/>
      <c r="I209" s="25"/>
      <c r="J209" s="19"/>
      <c r="K209" s="18"/>
      <c r="L209" s="33"/>
      <c r="M209" s="23"/>
      <c r="N209" s="31"/>
      <c r="O209" s="27"/>
      <c r="P209" s="4"/>
      <c r="Q209" s="4"/>
      <c r="R209" s="4"/>
    </row>
    <row r="210" spans="2:18">
      <c r="B210" s="4"/>
      <c r="C210" s="4"/>
      <c r="D210" s="4"/>
      <c r="E210" s="16"/>
      <c r="F210" s="29"/>
      <c r="G210" s="21"/>
      <c r="H210" s="35"/>
      <c r="I210" s="25"/>
      <c r="J210" s="19"/>
      <c r="K210" s="18"/>
      <c r="L210" s="33"/>
      <c r="M210" s="23"/>
      <c r="N210" s="31"/>
      <c r="O210" s="27"/>
      <c r="P210" s="4"/>
      <c r="Q210" s="4"/>
      <c r="R210" s="4"/>
    </row>
    <row r="211" spans="2:18">
      <c r="B211" s="4"/>
      <c r="C211" s="4"/>
      <c r="D211" s="4"/>
      <c r="E211" s="16"/>
      <c r="F211" s="29"/>
      <c r="G211" s="21"/>
      <c r="H211" s="35"/>
      <c r="I211" s="25"/>
      <c r="J211" s="19"/>
      <c r="K211" s="18"/>
      <c r="L211" s="33"/>
      <c r="M211" s="23"/>
      <c r="N211" s="31"/>
      <c r="O211" s="27"/>
      <c r="P211" s="4"/>
      <c r="Q211" s="4"/>
      <c r="R211" s="4"/>
    </row>
    <row r="212" spans="2:18">
      <c r="B212" s="4"/>
      <c r="C212" s="4"/>
      <c r="D212" s="4"/>
      <c r="E212" s="16"/>
      <c r="F212" s="29"/>
      <c r="G212" s="21"/>
      <c r="H212" s="35"/>
      <c r="I212" s="25"/>
      <c r="J212" s="19"/>
      <c r="K212" s="18"/>
      <c r="L212" s="33"/>
      <c r="M212" s="23"/>
      <c r="N212" s="31"/>
      <c r="O212" s="27"/>
      <c r="P212" s="4"/>
      <c r="Q212" s="4"/>
      <c r="R212" s="4"/>
    </row>
    <row r="213" spans="2:18">
      <c r="B213" s="4"/>
      <c r="C213" s="4"/>
      <c r="D213" s="4"/>
      <c r="E213" s="16"/>
      <c r="F213" s="29"/>
      <c r="G213" s="21"/>
      <c r="H213" s="35"/>
      <c r="I213" s="25"/>
      <c r="J213" s="19"/>
      <c r="K213" s="18"/>
      <c r="L213" s="33"/>
      <c r="M213" s="23"/>
      <c r="N213" s="31"/>
      <c r="O213" s="27"/>
      <c r="P213" s="4"/>
      <c r="Q213" s="4"/>
      <c r="R213" s="4"/>
    </row>
    <row r="214" spans="2:18">
      <c r="B214" s="4"/>
      <c r="C214" s="4"/>
      <c r="D214" s="4"/>
      <c r="E214" s="16"/>
      <c r="F214" s="29"/>
      <c r="G214" s="21"/>
      <c r="H214" s="35"/>
      <c r="I214" s="25"/>
      <c r="J214" s="19"/>
      <c r="K214" s="18"/>
      <c r="L214" s="33"/>
      <c r="M214" s="23"/>
      <c r="N214" s="31"/>
      <c r="O214" s="27"/>
      <c r="P214" s="4"/>
      <c r="Q214" s="4"/>
      <c r="R214" s="4"/>
    </row>
    <row r="215" spans="2:18">
      <c r="B215" s="4"/>
      <c r="C215" s="4"/>
      <c r="D215" s="4"/>
      <c r="E215" s="16"/>
      <c r="F215" s="29"/>
      <c r="G215" s="21"/>
      <c r="H215" s="35"/>
      <c r="I215" s="25"/>
      <c r="J215" s="19"/>
      <c r="K215" s="18"/>
      <c r="L215" s="33"/>
      <c r="M215" s="23"/>
      <c r="N215" s="31"/>
      <c r="O215" s="27"/>
      <c r="P215" s="4"/>
      <c r="Q215" s="4"/>
      <c r="R215" s="4"/>
    </row>
    <row r="216" spans="2:18">
      <c r="B216" s="4"/>
      <c r="C216" s="4"/>
      <c r="D216" s="4"/>
      <c r="E216" s="16"/>
      <c r="F216" s="29"/>
      <c r="G216" s="21"/>
      <c r="H216" s="35"/>
      <c r="I216" s="25"/>
      <c r="J216" s="19"/>
      <c r="K216" s="18"/>
      <c r="L216" s="33"/>
      <c r="M216" s="23"/>
      <c r="N216" s="31"/>
      <c r="O216" s="27"/>
      <c r="P216" s="4"/>
      <c r="Q216" s="4"/>
      <c r="R216" s="4"/>
    </row>
    <row r="217" spans="2:18">
      <c r="B217" s="4"/>
      <c r="C217" s="4"/>
      <c r="D217" s="4"/>
      <c r="E217" s="16"/>
      <c r="F217" s="29"/>
      <c r="G217" s="21"/>
      <c r="H217" s="35"/>
      <c r="I217" s="25"/>
      <c r="J217" s="19"/>
      <c r="K217" s="18"/>
      <c r="L217" s="33"/>
      <c r="M217" s="23"/>
      <c r="N217" s="31"/>
      <c r="O217" s="27"/>
      <c r="P217" s="4"/>
      <c r="Q217" s="4"/>
      <c r="R217" s="4"/>
    </row>
    <row r="218" spans="2:18">
      <c r="B218" s="4"/>
      <c r="C218" s="4"/>
      <c r="D218" s="4"/>
      <c r="E218" s="16"/>
      <c r="F218" s="29"/>
      <c r="G218" s="21"/>
      <c r="H218" s="35"/>
      <c r="I218" s="25"/>
      <c r="J218" s="19"/>
      <c r="K218" s="18"/>
      <c r="L218" s="33"/>
      <c r="M218" s="23"/>
      <c r="N218" s="31"/>
      <c r="O218" s="27"/>
      <c r="P218" s="4"/>
      <c r="Q218" s="4"/>
      <c r="R218" s="4"/>
    </row>
    <row r="219" spans="2:18">
      <c r="B219" s="4"/>
      <c r="C219" s="4"/>
      <c r="D219" s="4"/>
      <c r="E219" s="16"/>
      <c r="F219" s="29"/>
      <c r="G219" s="21"/>
      <c r="H219" s="35"/>
      <c r="I219" s="25"/>
      <c r="J219" s="19"/>
      <c r="K219" s="18"/>
      <c r="L219" s="33"/>
      <c r="M219" s="23"/>
      <c r="N219" s="31"/>
      <c r="O219" s="27"/>
      <c r="P219" s="4"/>
      <c r="Q219" s="4"/>
      <c r="R219" s="4"/>
    </row>
    <row r="220" spans="2:18">
      <c r="B220" s="4"/>
      <c r="C220" s="4"/>
      <c r="D220" s="4"/>
      <c r="E220" s="16"/>
      <c r="F220" s="29"/>
      <c r="G220" s="21"/>
      <c r="H220" s="35"/>
      <c r="I220" s="25"/>
      <c r="J220" s="19"/>
      <c r="K220" s="18"/>
      <c r="L220" s="33"/>
      <c r="M220" s="23"/>
      <c r="N220" s="31"/>
      <c r="O220" s="27"/>
      <c r="P220" s="4"/>
      <c r="Q220" s="4"/>
      <c r="R220" s="4"/>
    </row>
    <row r="221" spans="2:18">
      <c r="B221" s="4"/>
      <c r="C221" s="4"/>
      <c r="D221" s="4"/>
      <c r="E221" s="16"/>
      <c r="F221" s="29"/>
      <c r="G221" s="21"/>
      <c r="H221" s="35"/>
      <c r="I221" s="25"/>
      <c r="J221" s="19"/>
      <c r="K221" s="18"/>
      <c r="L221" s="33"/>
      <c r="M221" s="23"/>
      <c r="N221" s="31"/>
      <c r="O221" s="27"/>
      <c r="P221" s="4"/>
      <c r="Q221" s="4"/>
      <c r="R221" s="4"/>
    </row>
    <row r="222" spans="2:18">
      <c r="B222" s="4"/>
      <c r="C222" s="4"/>
      <c r="D222" s="4"/>
      <c r="E222" s="16"/>
      <c r="F222" s="29"/>
      <c r="G222" s="21"/>
      <c r="H222" s="35"/>
      <c r="I222" s="25"/>
      <c r="J222" s="19"/>
      <c r="K222" s="18"/>
      <c r="L222" s="33"/>
      <c r="M222" s="23"/>
      <c r="N222" s="31"/>
      <c r="O222" s="27"/>
      <c r="P222" s="4"/>
      <c r="Q222" s="4"/>
      <c r="R222" s="4"/>
    </row>
    <row r="223" spans="2:18">
      <c r="B223" s="4"/>
      <c r="C223" s="4"/>
      <c r="D223" s="4"/>
      <c r="E223" s="16"/>
      <c r="F223" s="29"/>
      <c r="G223" s="21"/>
      <c r="H223" s="35"/>
      <c r="I223" s="25"/>
      <c r="J223" s="19"/>
      <c r="K223" s="18"/>
      <c r="L223" s="33"/>
      <c r="M223" s="23"/>
      <c r="N223" s="31"/>
      <c r="O223" s="27"/>
      <c r="P223" s="4"/>
      <c r="Q223" s="4"/>
      <c r="R223" s="4"/>
    </row>
    <row r="224" spans="2:18">
      <c r="B224" s="4"/>
      <c r="C224" s="4"/>
      <c r="D224" s="4"/>
      <c r="E224" s="16"/>
      <c r="F224" s="29"/>
      <c r="G224" s="21"/>
      <c r="H224" s="35"/>
      <c r="I224" s="25"/>
      <c r="J224" s="19"/>
      <c r="K224" s="18"/>
      <c r="L224" s="33"/>
      <c r="M224" s="23"/>
      <c r="N224" s="31"/>
      <c r="O224" s="27"/>
      <c r="P224" s="4"/>
      <c r="Q224" s="4"/>
      <c r="R224" s="4"/>
    </row>
    <row r="225" spans="2:18">
      <c r="B225" s="4"/>
      <c r="C225" s="4"/>
      <c r="D225" s="4"/>
      <c r="E225" s="16"/>
      <c r="F225" s="29"/>
      <c r="G225" s="21"/>
      <c r="H225" s="35"/>
      <c r="I225" s="25"/>
      <c r="J225" s="19"/>
      <c r="K225" s="18"/>
      <c r="L225" s="33"/>
      <c r="M225" s="23"/>
      <c r="N225" s="31"/>
      <c r="O225" s="27"/>
      <c r="P225" s="4"/>
      <c r="Q225" s="4"/>
      <c r="R225" s="4"/>
    </row>
    <row r="226" spans="2:18">
      <c r="B226" s="4"/>
      <c r="C226" s="4"/>
      <c r="D226" s="4"/>
      <c r="E226" s="16"/>
      <c r="F226" s="29"/>
      <c r="G226" s="21"/>
      <c r="H226" s="35"/>
      <c r="I226" s="25"/>
      <c r="J226" s="19"/>
      <c r="K226" s="18"/>
      <c r="L226" s="33"/>
      <c r="M226" s="23"/>
      <c r="N226" s="31"/>
      <c r="O226" s="27"/>
      <c r="P226" s="4"/>
      <c r="Q226" s="4"/>
      <c r="R226" s="4"/>
    </row>
    <row r="227" spans="2:18">
      <c r="B227" s="4"/>
      <c r="C227" s="4"/>
      <c r="D227" s="4"/>
      <c r="E227" s="16"/>
      <c r="F227" s="29"/>
      <c r="G227" s="21"/>
      <c r="H227" s="35"/>
      <c r="I227" s="25"/>
      <c r="J227" s="19"/>
      <c r="K227" s="18"/>
      <c r="L227" s="33"/>
      <c r="M227" s="23"/>
      <c r="N227" s="31"/>
      <c r="O227" s="27"/>
      <c r="P227" s="4"/>
      <c r="Q227" s="4"/>
      <c r="R227" s="4"/>
    </row>
    <row r="228" spans="2:18">
      <c r="B228" s="4"/>
      <c r="C228" s="4"/>
      <c r="D228" s="4"/>
      <c r="E228" s="16"/>
      <c r="F228" s="29"/>
      <c r="G228" s="21"/>
      <c r="H228" s="35"/>
      <c r="I228" s="25"/>
      <c r="J228" s="19"/>
      <c r="K228" s="18"/>
      <c r="L228" s="33"/>
      <c r="M228" s="23"/>
      <c r="N228" s="31"/>
      <c r="O228" s="27"/>
      <c r="P228" s="4"/>
      <c r="Q228" s="4"/>
      <c r="R228" s="4"/>
    </row>
    <row r="229" spans="2:18">
      <c r="B229" s="4"/>
      <c r="C229" s="4"/>
      <c r="D229" s="4"/>
      <c r="E229" s="16"/>
      <c r="F229" s="29"/>
      <c r="G229" s="21"/>
      <c r="H229" s="35"/>
      <c r="I229" s="25"/>
      <c r="J229" s="19"/>
      <c r="K229" s="18"/>
      <c r="L229" s="33"/>
      <c r="M229" s="23"/>
      <c r="N229" s="31"/>
      <c r="O229" s="27"/>
      <c r="P229" s="4"/>
      <c r="Q229" s="4"/>
      <c r="R229" s="4"/>
    </row>
    <row r="230" spans="2:18">
      <c r="B230" s="4"/>
      <c r="C230" s="4"/>
      <c r="D230" s="4"/>
      <c r="E230" s="16"/>
      <c r="F230" s="29"/>
      <c r="G230" s="21"/>
      <c r="H230" s="35"/>
      <c r="I230" s="25"/>
      <c r="J230" s="19"/>
      <c r="K230" s="18"/>
      <c r="L230" s="33"/>
      <c r="M230" s="23"/>
      <c r="N230" s="31"/>
      <c r="O230" s="27"/>
      <c r="P230" s="4"/>
      <c r="Q230" s="4"/>
      <c r="R230" s="4"/>
    </row>
    <row r="231" spans="2:18">
      <c r="B231" s="4"/>
      <c r="C231" s="4"/>
      <c r="D231" s="4"/>
      <c r="E231" s="16"/>
      <c r="F231" s="29"/>
      <c r="G231" s="21"/>
      <c r="H231" s="35"/>
      <c r="I231" s="25"/>
      <c r="J231" s="19"/>
      <c r="K231" s="18"/>
      <c r="L231" s="33"/>
      <c r="M231" s="23"/>
      <c r="N231" s="31"/>
      <c r="O231" s="27"/>
      <c r="P231" s="4"/>
      <c r="Q231" s="4"/>
      <c r="R231" s="4"/>
    </row>
    <row r="232" spans="2:18">
      <c r="B232" s="4"/>
      <c r="C232" s="4"/>
      <c r="D232" s="4"/>
      <c r="E232" s="16"/>
      <c r="F232" s="29"/>
      <c r="G232" s="21"/>
      <c r="H232" s="35"/>
      <c r="I232" s="25"/>
      <c r="J232" s="19"/>
      <c r="K232" s="18"/>
      <c r="L232" s="33"/>
      <c r="M232" s="23"/>
      <c r="N232" s="31"/>
      <c r="O232" s="27"/>
      <c r="P232" s="4"/>
      <c r="Q232" s="4"/>
      <c r="R232" s="4"/>
    </row>
    <row r="233" spans="2:18">
      <c r="B233" s="4"/>
      <c r="C233" s="4"/>
      <c r="D233" s="4"/>
      <c r="E233" s="16"/>
      <c r="F233" s="29"/>
      <c r="G233" s="21"/>
      <c r="H233" s="35"/>
      <c r="I233" s="25"/>
      <c r="J233" s="19"/>
      <c r="K233" s="18"/>
      <c r="L233" s="33"/>
      <c r="M233" s="23"/>
      <c r="N233" s="31"/>
      <c r="O233" s="27"/>
      <c r="P233" s="4"/>
      <c r="Q233" s="4"/>
      <c r="R233" s="4"/>
    </row>
    <row r="234" spans="2:18">
      <c r="B234" s="4"/>
      <c r="C234" s="4"/>
      <c r="D234" s="4"/>
      <c r="E234" s="16"/>
      <c r="F234" s="29"/>
      <c r="G234" s="21"/>
      <c r="H234" s="35"/>
      <c r="I234" s="25"/>
      <c r="J234" s="19"/>
      <c r="K234" s="18"/>
      <c r="L234" s="33"/>
      <c r="M234" s="23"/>
      <c r="N234" s="31"/>
      <c r="O234" s="27"/>
      <c r="P234" s="4"/>
      <c r="Q234" s="4"/>
      <c r="R234" s="4"/>
    </row>
    <row r="235" spans="2:18">
      <c r="B235" s="4"/>
      <c r="C235" s="4"/>
      <c r="D235" s="4"/>
      <c r="E235" s="16"/>
      <c r="F235" s="29"/>
      <c r="G235" s="21"/>
      <c r="H235" s="35"/>
      <c r="I235" s="25"/>
      <c r="J235" s="19"/>
      <c r="K235" s="18"/>
      <c r="L235" s="33"/>
      <c r="M235" s="23"/>
      <c r="N235" s="31"/>
      <c r="O235" s="27"/>
      <c r="P235" s="4"/>
      <c r="Q235" s="4"/>
      <c r="R235" s="4"/>
    </row>
    <row r="236" spans="2:18">
      <c r="B236" s="4"/>
      <c r="C236" s="4"/>
      <c r="D236" s="4"/>
      <c r="E236" s="16"/>
      <c r="F236" s="29"/>
      <c r="G236" s="21"/>
      <c r="H236" s="35"/>
      <c r="I236" s="25"/>
      <c r="J236" s="19"/>
      <c r="K236" s="18"/>
      <c r="L236" s="33"/>
      <c r="M236" s="23"/>
      <c r="N236" s="31"/>
      <c r="O236" s="27"/>
      <c r="P236" s="4"/>
      <c r="Q236" s="4"/>
      <c r="R236" s="4"/>
    </row>
    <row r="237" spans="2:18">
      <c r="B237" s="4"/>
      <c r="C237" s="4"/>
      <c r="D237" s="4"/>
      <c r="E237" s="16"/>
      <c r="F237" s="29"/>
      <c r="G237" s="21"/>
      <c r="H237" s="35"/>
      <c r="I237" s="25"/>
      <c r="J237" s="19"/>
      <c r="K237" s="18"/>
      <c r="L237" s="33"/>
      <c r="M237" s="23"/>
      <c r="N237" s="31"/>
      <c r="O237" s="27"/>
      <c r="P237" s="4"/>
      <c r="Q237" s="4"/>
      <c r="R237" s="4"/>
    </row>
    <row r="238" spans="2:18">
      <c r="B238" s="4"/>
      <c r="C238" s="4"/>
      <c r="D238" s="4"/>
      <c r="E238" s="16"/>
      <c r="F238" s="29"/>
      <c r="G238" s="21"/>
      <c r="H238" s="35"/>
      <c r="I238" s="25"/>
      <c r="J238" s="19"/>
      <c r="K238" s="18"/>
      <c r="L238" s="33"/>
      <c r="M238" s="23"/>
      <c r="N238" s="31"/>
      <c r="O238" s="27"/>
      <c r="P238" s="4"/>
      <c r="Q238" s="4"/>
      <c r="R238" s="4"/>
    </row>
    <row r="239" spans="2:18">
      <c r="B239" s="4"/>
      <c r="C239" s="4"/>
      <c r="D239" s="4"/>
      <c r="E239" s="16"/>
      <c r="F239" s="29"/>
      <c r="G239" s="21"/>
      <c r="H239" s="35"/>
      <c r="I239" s="25"/>
      <c r="J239" s="19"/>
      <c r="K239" s="18"/>
      <c r="L239" s="33"/>
      <c r="M239" s="23"/>
      <c r="N239" s="31"/>
      <c r="O239" s="27"/>
      <c r="P239" s="4"/>
      <c r="Q239" s="4"/>
      <c r="R239" s="4"/>
    </row>
    <row r="240" spans="2:18">
      <c r="B240" s="4"/>
      <c r="C240" s="4"/>
      <c r="D240" s="4"/>
      <c r="E240" s="16"/>
      <c r="F240" s="29"/>
      <c r="G240" s="21"/>
      <c r="H240" s="35"/>
      <c r="I240" s="25"/>
      <c r="J240" s="19"/>
      <c r="K240" s="18"/>
      <c r="L240" s="33"/>
      <c r="M240" s="23"/>
      <c r="N240" s="31"/>
      <c r="O240" s="27"/>
      <c r="P240" s="4"/>
      <c r="Q240" s="4"/>
      <c r="R240" s="4"/>
    </row>
    <row r="241" spans="2:18">
      <c r="B241" s="4"/>
      <c r="C241" s="4"/>
      <c r="D241" s="4"/>
      <c r="E241" s="16"/>
      <c r="F241" s="29"/>
      <c r="G241" s="21"/>
      <c r="H241" s="35"/>
      <c r="I241" s="25"/>
      <c r="J241" s="19"/>
      <c r="K241" s="18"/>
      <c r="L241" s="33"/>
      <c r="M241" s="23"/>
      <c r="N241" s="31"/>
      <c r="O241" s="27"/>
      <c r="P241" s="4"/>
      <c r="Q241" s="4"/>
      <c r="R241" s="4"/>
    </row>
    <row r="242" spans="2:18">
      <c r="B242" s="4"/>
      <c r="C242" s="4"/>
      <c r="D242" s="4"/>
      <c r="E242" s="16"/>
      <c r="F242" s="29"/>
      <c r="G242" s="21"/>
      <c r="H242" s="35"/>
      <c r="I242" s="25"/>
      <c r="J242" s="19"/>
      <c r="K242" s="18"/>
      <c r="L242" s="33"/>
      <c r="M242" s="23"/>
      <c r="N242" s="31"/>
      <c r="O242" s="27"/>
      <c r="P242" s="4"/>
      <c r="Q242" s="4"/>
      <c r="R242" s="4"/>
    </row>
    <row r="243" spans="2:18">
      <c r="B243" s="4"/>
      <c r="C243" s="4"/>
      <c r="D243" s="4"/>
      <c r="E243" s="16"/>
      <c r="F243" s="29"/>
      <c r="G243" s="21"/>
      <c r="H243" s="35"/>
      <c r="I243" s="25"/>
      <c r="J243" s="19"/>
      <c r="K243" s="18"/>
      <c r="L243" s="33"/>
      <c r="M243" s="23"/>
      <c r="N243" s="31"/>
      <c r="O243" s="27"/>
      <c r="P243" s="4"/>
      <c r="Q243" s="4"/>
      <c r="R243" s="4"/>
    </row>
    <row r="244" spans="2:18">
      <c r="B244" s="4"/>
      <c r="C244" s="4"/>
      <c r="D244" s="4"/>
      <c r="E244" s="16"/>
      <c r="F244" s="29"/>
      <c r="G244" s="21"/>
      <c r="H244" s="35"/>
      <c r="I244" s="25"/>
      <c r="J244" s="19"/>
      <c r="K244" s="18"/>
      <c r="L244" s="33"/>
      <c r="M244" s="23"/>
      <c r="N244" s="31"/>
      <c r="O244" s="27"/>
      <c r="P244" s="4"/>
      <c r="Q244" s="4"/>
      <c r="R244" s="4"/>
    </row>
    <row r="245" spans="2:18">
      <c r="B245" s="4"/>
      <c r="C245" s="4"/>
      <c r="D245" s="4"/>
      <c r="E245" s="16"/>
      <c r="F245" s="29"/>
      <c r="G245" s="21"/>
      <c r="H245" s="35"/>
      <c r="I245" s="25"/>
      <c r="J245" s="19"/>
      <c r="K245" s="18"/>
      <c r="L245" s="33"/>
      <c r="M245" s="23"/>
      <c r="N245" s="31"/>
      <c r="O245" s="27"/>
      <c r="P245" s="4"/>
      <c r="Q245" s="4"/>
      <c r="R245" s="4"/>
    </row>
    <row r="246" spans="2:18">
      <c r="B246" s="4"/>
      <c r="C246" s="4"/>
      <c r="D246" s="4"/>
      <c r="E246" s="16"/>
      <c r="F246" s="29"/>
      <c r="G246" s="21"/>
      <c r="H246" s="35"/>
      <c r="I246" s="25"/>
      <c r="J246" s="19"/>
      <c r="K246" s="18"/>
      <c r="L246" s="33"/>
      <c r="M246" s="23"/>
      <c r="N246" s="31"/>
      <c r="O246" s="27"/>
      <c r="P246" s="4"/>
      <c r="Q246" s="4"/>
      <c r="R246" s="4"/>
    </row>
    <row r="247" spans="2:18">
      <c r="B247" s="4"/>
      <c r="C247" s="4"/>
      <c r="D247" s="4"/>
      <c r="E247" s="16"/>
      <c r="F247" s="29"/>
      <c r="G247" s="21"/>
      <c r="H247" s="35"/>
      <c r="I247" s="25"/>
      <c r="J247" s="19"/>
      <c r="K247" s="18"/>
      <c r="L247" s="33"/>
      <c r="M247" s="23"/>
      <c r="N247" s="31"/>
      <c r="O247" s="27"/>
      <c r="P247" s="4"/>
      <c r="Q247" s="4"/>
      <c r="R247" s="4"/>
    </row>
    <row r="248" spans="2:18">
      <c r="B248" s="4"/>
      <c r="C248" s="4"/>
      <c r="D248" s="4"/>
      <c r="E248" s="16"/>
      <c r="F248" s="29"/>
      <c r="G248" s="21"/>
      <c r="H248" s="35"/>
      <c r="I248" s="25"/>
      <c r="J248" s="19"/>
      <c r="K248" s="18"/>
      <c r="L248" s="33"/>
      <c r="M248" s="23"/>
      <c r="N248" s="31"/>
      <c r="O248" s="27"/>
      <c r="P248" s="4"/>
      <c r="Q248" s="4"/>
      <c r="R248" s="4"/>
    </row>
    <row r="249" spans="2:18">
      <c r="B249" s="4"/>
      <c r="C249" s="4"/>
      <c r="D249" s="4"/>
      <c r="E249" s="16"/>
      <c r="F249" s="29"/>
      <c r="G249" s="21"/>
      <c r="H249" s="35"/>
      <c r="I249" s="25"/>
      <c r="J249" s="19"/>
      <c r="K249" s="18"/>
      <c r="L249" s="33"/>
      <c r="M249" s="23"/>
      <c r="N249" s="31"/>
      <c r="O249" s="27"/>
      <c r="P249" s="4"/>
      <c r="Q249" s="4"/>
      <c r="R249" s="4"/>
    </row>
    <row r="250" spans="2:18">
      <c r="B250" s="4"/>
      <c r="C250" s="4"/>
      <c r="D250" s="4"/>
      <c r="E250" s="16"/>
      <c r="F250" s="29"/>
      <c r="G250" s="21"/>
      <c r="H250" s="35"/>
      <c r="I250" s="25"/>
      <c r="J250" s="19"/>
      <c r="K250" s="18"/>
      <c r="L250" s="33"/>
      <c r="M250" s="23"/>
      <c r="N250" s="31"/>
      <c r="O250" s="27"/>
      <c r="P250" s="4"/>
      <c r="Q250" s="4"/>
      <c r="R250" s="4"/>
    </row>
    <row r="251" spans="2:18">
      <c r="B251" s="4"/>
      <c r="C251" s="4"/>
      <c r="D251" s="4"/>
      <c r="E251" s="16"/>
      <c r="F251" s="29"/>
      <c r="G251" s="21"/>
      <c r="H251" s="35"/>
      <c r="I251" s="25"/>
      <c r="J251" s="19"/>
      <c r="K251" s="18"/>
      <c r="L251" s="33"/>
      <c r="M251" s="23"/>
      <c r="N251" s="31"/>
      <c r="O251" s="27"/>
      <c r="P251" s="4"/>
      <c r="Q251" s="4"/>
      <c r="R251" s="4"/>
    </row>
    <row r="252" spans="2:18">
      <c r="B252" s="4"/>
      <c r="C252" s="4"/>
      <c r="D252" s="4"/>
      <c r="E252" s="16"/>
      <c r="F252" s="29"/>
      <c r="G252" s="21"/>
      <c r="H252" s="35"/>
      <c r="I252" s="25"/>
      <c r="J252" s="19"/>
      <c r="K252" s="18"/>
      <c r="L252" s="33"/>
      <c r="M252" s="23"/>
      <c r="N252" s="31"/>
      <c r="O252" s="27"/>
      <c r="P252" s="4"/>
      <c r="Q252" s="4"/>
      <c r="R252" s="4"/>
    </row>
    <row r="253" spans="2:18">
      <c r="B253" s="4"/>
      <c r="C253" s="4"/>
      <c r="D253" s="4"/>
      <c r="E253" s="16"/>
      <c r="F253" s="29"/>
      <c r="G253" s="21"/>
      <c r="H253" s="35"/>
      <c r="I253" s="25"/>
      <c r="J253" s="19"/>
      <c r="K253" s="18"/>
      <c r="L253" s="33"/>
      <c r="M253" s="23"/>
      <c r="N253" s="31"/>
      <c r="O253" s="27"/>
      <c r="P253" s="4"/>
      <c r="Q253" s="4"/>
      <c r="R253" s="4"/>
    </row>
    <row r="254" spans="2:18">
      <c r="B254" s="4"/>
      <c r="C254" s="4"/>
      <c r="D254" s="4"/>
      <c r="E254" s="16"/>
      <c r="F254" s="29"/>
      <c r="G254" s="21"/>
      <c r="H254" s="35"/>
      <c r="I254" s="25"/>
      <c r="J254" s="19"/>
      <c r="K254" s="18"/>
      <c r="L254" s="33"/>
      <c r="M254" s="23"/>
      <c r="N254" s="31"/>
      <c r="O254" s="27"/>
      <c r="P254" s="4"/>
      <c r="Q254" s="4"/>
      <c r="R254" s="4"/>
    </row>
    <row r="255" spans="2:18">
      <c r="B255" s="4"/>
      <c r="C255" s="4"/>
      <c r="D255" s="4"/>
      <c r="E255" s="16"/>
      <c r="F255" s="29"/>
      <c r="G255" s="21"/>
      <c r="H255" s="35"/>
      <c r="I255" s="25"/>
      <c r="J255" s="19"/>
      <c r="K255" s="18"/>
      <c r="L255" s="33"/>
      <c r="M255" s="23"/>
      <c r="N255" s="31"/>
      <c r="O255" s="27"/>
      <c r="P255" s="4"/>
      <c r="Q255" s="4"/>
      <c r="R255" s="4"/>
    </row>
    <row r="256" spans="2:18">
      <c r="B256" s="4"/>
      <c r="C256" s="4"/>
      <c r="D256" s="4"/>
      <c r="E256" s="16"/>
      <c r="F256" s="29"/>
      <c r="G256" s="21"/>
      <c r="H256" s="35"/>
      <c r="I256" s="25"/>
      <c r="J256" s="19"/>
      <c r="K256" s="18"/>
      <c r="L256" s="33"/>
      <c r="M256" s="23"/>
      <c r="N256" s="31"/>
      <c r="O256" s="27"/>
      <c r="P256" s="4"/>
      <c r="Q256" s="4"/>
      <c r="R256" s="4"/>
    </row>
    <row r="257" spans="2:18">
      <c r="B257" s="4"/>
      <c r="C257" s="4"/>
      <c r="D257" s="4"/>
      <c r="E257" s="16"/>
      <c r="F257" s="29"/>
      <c r="G257" s="21"/>
      <c r="H257" s="35"/>
      <c r="I257" s="25"/>
      <c r="J257" s="19"/>
      <c r="K257" s="18"/>
      <c r="L257" s="33"/>
      <c r="M257" s="23"/>
      <c r="N257" s="31"/>
      <c r="O257" s="27"/>
      <c r="P257" s="4"/>
      <c r="Q257" s="4"/>
      <c r="R257" s="4"/>
    </row>
    <row r="258" spans="2:18">
      <c r="B258" s="4"/>
      <c r="C258" s="4"/>
      <c r="D258" s="4"/>
      <c r="E258" s="16"/>
      <c r="F258" s="29"/>
      <c r="G258" s="21"/>
      <c r="H258" s="35"/>
      <c r="I258" s="25"/>
      <c r="J258" s="19"/>
      <c r="K258" s="18"/>
      <c r="L258" s="33"/>
      <c r="M258" s="23"/>
      <c r="N258" s="31"/>
      <c r="O258" s="27"/>
      <c r="P258" s="4"/>
      <c r="Q258" s="4"/>
      <c r="R258" s="4"/>
    </row>
    <row r="259" spans="2:18">
      <c r="B259" s="4"/>
      <c r="C259" s="4"/>
      <c r="D259" s="4"/>
      <c r="E259" s="16"/>
      <c r="F259" s="29"/>
      <c r="G259" s="21"/>
      <c r="H259" s="35"/>
      <c r="I259" s="25"/>
      <c r="J259" s="19"/>
      <c r="K259" s="18"/>
      <c r="L259" s="33"/>
      <c r="M259" s="23"/>
      <c r="N259" s="31"/>
      <c r="O259" s="27"/>
      <c r="P259" s="4"/>
      <c r="Q259" s="4"/>
      <c r="R259" s="4"/>
    </row>
    <row r="260" spans="2:18">
      <c r="B260" s="4"/>
      <c r="C260" s="4"/>
      <c r="D260" s="4"/>
      <c r="E260" s="16"/>
      <c r="F260" s="29"/>
      <c r="G260" s="21"/>
      <c r="H260" s="35"/>
      <c r="I260" s="25"/>
      <c r="J260" s="19"/>
      <c r="K260" s="18"/>
      <c r="L260" s="33"/>
      <c r="M260" s="23"/>
      <c r="N260" s="31"/>
      <c r="O260" s="27"/>
      <c r="P260" s="4"/>
      <c r="Q260" s="4"/>
      <c r="R260" s="4"/>
    </row>
    <row r="261" spans="2:18">
      <c r="B261" s="4"/>
      <c r="C261" s="4"/>
      <c r="D261" s="4"/>
      <c r="E261" s="16"/>
      <c r="F261" s="29"/>
      <c r="G261" s="21"/>
      <c r="H261" s="35"/>
      <c r="I261" s="25"/>
      <c r="J261" s="19"/>
      <c r="K261" s="18"/>
      <c r="L261" s="33"/>
      <c r="M261" s="23"/>
      <c r="N261" s="31"/>
      <c r="O261" s="27"/>
      <c r="P261" s="4"/>
      <c r="Q261" s="4"/>
      <c r="R261" s="4"/>
    </row>
    <row r="262" spans="2:18">
      <c r="B262" s="4"/>
      <c r="C262" s="4"/>
      <c r="D262" s="4"/>
      <c r="E262" s="16"/>
      <c r="F262" s="29"/>
      <c r="G262" s="21"/>
      <c r="H262" s="35"/>
      <c r="I262" s="25"/>
      <c r="J262" s="19"/>
      <c r="K262" s="18"/>
      <c r="L262" s="33"/>
      <c r="M262" s="23"/>
      <c r="N262" s="31"/>
      <c r="O262" s="27"/>
      <c r="P262" s="4"/>
      <c r="Q262" s="4"/>
      <c r="R262" s="4"/>
    </row>
    <row r="263" spans="2:18">
      <c r="B263" s="4"/>
      <c r="C263" s="4"/>
      <c r="D263" s="4"/>
      <c r="E263" s="16"/>
      <c r="F263" s="29"/>
      <c r="G263" s="21"/>
      <c r="H263" s="35"/>
      <c r="I263" s="25"/>
      <c r="J263" s="19"/>
      <c r="K263" s="18"/>
      <c r="L263" s="33"/>
      <c r="M263" s="23"/>
      <c r="N263" s="31"/>
      <c r="O263" s="27"/>
      <c r="P263" s="4"/>
      <c r="Q263" s="4"/>
      <c r="R263" s="4"/>
    </row>
    <row r="264" spans="2:18">
      <c r="B264" s="4"/>
      <c r="C264" s="4"/>
      <c r="D264" s="4"/>
      <c r="E264" s="16"/>
      <c r="F264" s="29"/>
      <c r="G264" s="21"/>
      <c r="H264" s="35"/>
      <c r="I264" s="25"/>
      <c r="J264" s="19"/>
      <c r="K264" s="18"/>
      <c r="L264" s="33"/>
      <c r="M264" s="23"/>
      <c r="N264" s="31"/>
      <c r="O264" s="27"/>
      <c r="P264" s="4"/>
      <c r="Q264" s="4"/>
      <c r="R264" s="4"/>
    </row>
    <row r="265" spans="2:18">
      <c r="B265" s="4"/>
      <c r="C265" s="4"/>
      <c r="D265" s="4"/>
      <c r="E265" s="16"/>
      <c r="F265" s="29"/>
      <c r="G265" s="21"/>
      <c r="H265" s="35"/>
      <c r="I265" s="25"/>
      <c r="J265" s="19"/>
      <c r="K265" s="18"/>
      <c r="L265" s="33"/>
      <c r="M265" s="23"/>
      <c r="N265" s="31"/>
      <c r="O265" s="27"/>
      <c r="P265" s="4"/>
      <c r="Q265" s="4"/>
      <c r="R265" s="4"/>
    </row>
    <row r="266" spans="2:18">
      <c r="B266" s="4"/>
      <c r="C266" s="4"/>
      <c r="D266" s="4"/>
      <c r="E266" s="16"/>
      <c r="F266" s="29"/>
      <c r="G266" s="21"/>
      <c r="H266" s="35"/>
      <c r="I266" s="25"/>
      <c r="J266" s="19"/>
      <c r="K266" s="18"/>
      <c r="L266" s="33"/>
      <c r="M266" s="23"/>
      <c r="N266" s="31"/>
      <c r="O266" s="27"/>
      <c r="P266" s="4"/>
      <c r="Q266" s="4"/>
      <c r="R266" s="4"/>
    </row>
    <row r="267" spans="2:18">
      <c r="B267" s="4"/>
      <c r="C267" s="4"/>
      <c r="D267" s="4"/>
      <c r="E267" s="16"/>
      <c r="F267" s="29"/>
      <c r="G267" s="21"/>
      <c r="H267" s="35"/>
      <c r="I267" s="25"/>
      <c r="J267" s="19"/>
      <c r="K267" s="18"/>
      <c r="L267" s="33"/>
      <c r="M267" s="23"/>
      <c r="N267" s="31"/>
      <c r="O267" s="27"/>
      <c r="P267" s="4"/>
      <c r="Q267" s="4"/>
      <c r="R267" s="4"/>
    </row>
    <row r="268" spans="2:18">
      <c r="B268" s="4"/>
      <c r="C268" s="4"/>
      <c r="D268" s="4"/>
      <c r="E268" s="16"/>
      <c r="F268" s="29"/>
      <c r="G268" s="21"/>
      <c r="H268" s="35"/>
      <c r="I268" s="25"/>
      <c r="J268" s="19"/>
      <c r="K268" s="18"/>
      <c r="L268" s="33"/>
      <c r="M268" s="23"/>
      <c r="N268" s="31"/>
      <c r="O268" s="27"/>
      <c r="P268" s="4"/>
      <c r="Q268" s="4"/>
      <c r="R268" s="4"/>
    </row>
    <row r="269" spans="2:18">
      <c r="B269" s="4"/>
      <c r="C269" s="4"/>
      <c r="D269" s="4"/>
      <c r="E269" s="16"/>
      <c r="F269" s="29"/>
      <c r="G269" s="21"/>
      <c r="H269" s="35"/>
      <c r="I269" s="25"/>
      <c r="J269" s="19"/>
      <c r="K269" s="18"/>
      <c r="L269" s="33"/>
      <c r="M269" s="23"/>
      <c r="N269" s="31"/>
      <c r="O269" s="27"/>
      <c r="P269" s="4"/>
      <c r="Q269" s="4"/>
      <c r="R269" s="4"/>
    </row>
    <row r="270" spans="2:18">
      <c r="B270" s="4"/>
      <c r="C270" s="4"/>
      <c r="D270" s="4"/>
      <c r="E270" s="16"/>
      <c r="F270" s="29"/>
      <c r="G270" s="21"/>
      <c r="H270" s="35"/>
      <c r="I270" s="25"/>
      <c r="J270" s="19"/>
      <c r="K270" s="18"/>
      <c r="L270" s="33"/>
      <c r="M270" s="23"/>
      <c r="N270" s="31"/>
      <c r="O270" s="27"/>
      <c r="P270" s="4"/>
      <c r="Q270" s="4"/>
      <c r="R270" s="4"/>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Seconod_journaltable">
          <controlPr defaultSize="0" autoLine="0" autoPict="0" r:id="rId5">
            <anchor moveWithCells="1">
              <from>
                <xdr:col>2</xdr:col>
                <xdr:colOff>247650</xdr:colOff>
                <xdr:row>0</xdr:row>
                <xdr:rowOff>142875</xdr:rowOff>
              </from>
              <to>
                <xdr:col>5</xdr:col>
                <xdr:colOff>647700</xdr:colOff>
                <xdr:row>2</xdr:row>
                <xdr:rowOff>19050</xdr:rowOff>
              </to>
            </anchor>
          </controlPr>
        </control>
      </mc:Choice>
      <mc:Fallback>
        <control shapeId="7169" r:id="rId4" name="Seconod_journaltab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8BF68-CA3C-4752-B9E8-3DC60B4F1E09}">
  <sheetPr codeName="Sheet5"/>
  <dimension ref="A4:V822"/>
  <sheetViews>
    <sheetView workbookViewId="0">
      <selection activeCell="D51" sqref="D51"/>
    </sheetView>
  </sheetViews>
  <sheetFormatPr defaultRowHeight="18.75"/>
  <cols>
    <col min="2" max="2" width="10.875" bestFit="1" customWidth="1"/>
    <col min="3" max="3" width="5.75" bestFit="1" customWidth="1"/>
    <col min="4" max="4" width="8.5" bestFit="1" customWidth="1"/>
    <col min="5" max="5" width="7.5" bestFit="1" customWidth="1"/>
    <col min="6" max="6" width="10.875" bestFit="1" customWidth="1"/>
    <col min="7" max="7" width="7.5" bestFit="1" customWidth="1"/>
    <col min="8" max="8" width="9" bestFit="1" customWidth="1"/>
    <col min="9" max="9" width="6.375" bestFit="1" customWidth="1"/>
    <col min="15" max="15" width="10.875" bestFit="1" customWidth="1"/>
    <col min="16" max="16" width="5.75" bestFit="1" customWidth="1"/>
    <col min="17" max="17" width="8.5" bestFit="1" customWidth="1"/>
    <col min="18" max="18" width="7.5" bestFit="1" customWidth="1"/>
    <col min="19" max="19" width="10.875" bestFit="1" customWidth="1"/>
    <col min="20" max="20" width="7.5" bestFit="1" customWidth="1"/>
    <col min="22" max="22" width="6.375" bestFit="1" customWidth="1"/>
  </cols>
  <sheetData>
    <row r="4" spans="1:22">
      <c r="A4" s="40" t="s">
        <v>395</v>
      </c>
      <c r="N4" s="40" t="s">
        <v>396</v>
      </c>
    </row>
    <row r="5" spans="1:22" ht="38.25" thickBot="1">
      <c r="B5" s="36" t="s">
        <v>29</v>
      </c>
      <c r="C5" s="5" t="s">
        <v>30</v>
      </c>
      <c r="D5" s="5" t="s">
        <v>9</v>
      </c>
      <c r="E5" s="5" t="s">
        <v>8</v>
      </c>
      <c r="F5" s="6" t="s">
        <v>10</v>
      </c>
      <c r="G5" s="5" t="s">
        <v>11</v>
      </c>
      <c r="H5" s="5" t="s">
        <v>12</v>
      </c>
      <c r="I5" s="5" t="s">
        <v>31</v>
      </c>
      <c r="J5" s="6" t="s">
        <v>32</v>
      </c>
      <c r="O5" s="36" t="s">
        <v>29</v>
      </c>
      <c r="P5" s="5" t="s">
        <v>30</v>
      </c>
      <c r="Q5" s="5" t="s">
        <v>9</v>
      </c>
      <c r="R5" s="5" t="s">
        <v>8</v>
      </c>
      <c r="S5" s="6" t="s">
        <v>10</v>
      </c>
      <c r="T5" s="5" t="s">
        <v>11</v>
      </c>
      <c r="U5" s="5" t="s">
        <v>12</v>
      </c>
      <c r="V5" s="5" t="s">
        <v>31</v>
      </c>
    </row>
    <row r="6" spans="1:22">
      <c r="B6" s="37">
        <v>101110</v>
      </c>
      <c r="C6">
        <v>0</v>
      </c>
      <c r="D6" t="s">
        <v>18</v>
      </c>
      <c r="E6" t="s">
        <v>407</v>
      </c>
      <c r="F6" t="s">
        <v>422</v>
      </c>
      <c r="G6" t="s">
        <v>424</v>
      </c>
      <c r="H6" t="s">
        <v>53</v>
      </c>
      <c r="I6">
        <v>2</v>
      </c>
      <c r="J6">
        <v>1</v>
      </c>
      <c r="O6" s="37">
        <v>101110</v>
      </c>
      <c r="P6">
        <v>0</v>
      </c>
      <c r="Q6" t="s">
        <v>18</v>
      </c>
      <c r="R6" t="s">
        <v>407</v>
      </c>
      <c r="S6" t="s">
        <v>422</v>
      </c>
      <c r="T6" t="s">
        <v>424</v>
      </c>
      <c r="U6" t="s">
        <v>53</v>
      </c>
      <c r="V6">
        <v>2</v>
      </c>
    </row>
    <row r="7" spans="1:22">
      <c r="B7" s="37">
        <v>102110</v>
      </c>
      <c r="C7">
        <v>0</v>
      </c>
      <c r="D7" t="s">
        <v>18</v>
      </c>
      <c r="E7" t="s">
        <v>420</v>
      </c>
      <c r="F7" t="s">
        <v>437</v>
      </c>
      <c r="G7" t="s">
        <v>407</v>
      </c>
      <c r="H7" t="s">
        <v>18</v>
      </c>
      <c r="I7">
        <v>0</v>
      </c>
      <c r="J7">
        <v>1</v>
      </c>
      <c r="O7" s="37">
        <v>102110</v>
      </c>
      <c r="P7">
        <v>0</v>
      </c>
      <c r="Q7" t="s">
        <v>18</v>
      </c>
      <c r="R7" t="s">
        <v>420</v>
      </c>
      <c r="S7" t="s">
        <v>437</v>
      </c>
      <c r="T7" t="s">
        <v>407</v>
      </c>
      <c r="U7" t="s">
        <v>18</v>
      </c>
      <c r="V7">
        <v>0</v>
      </c>
    </row>
    <row r="8" spans="1:22">
      <c r="B8" s="37">
        <v>103110</v>
      </c>
      <c r="C8">
        <v>0</v>
      </c>
      <c r="D8" t="s">
        <v>18</v>
      </c>
      <c r="E8" t="s">
        <v>407</v>
      </c>
      <c r="F8" t="s">
        <v>429</v>
      </c>
      <c r="G8" t="s">
        <v>420</v>
      </c>
      <c r="H8" t="s">
        <v>18</v>
      </c>
      <c r="I8">
        <v>0</v>
      </c>
      <c r="J8">
        <v>1</v>
      </c>
      <c r="O8" s="37">
        <v>103110</v>
      </c>
      <c r="P8">
        <v>0</v>
      </c>
      <c r="Q8" t="s">
        <v>18</v>
      </c>
      <c r="R8" t="s">
        <v>407</v>
      </c>
      <c r="S8" t="s">
        <v>429</v>
      </c>
      <c r="T8" t="s">
        <v>420</v>
      </c>
      <c r="U8" t="s">
        <v>18</v>
      </c>
      <c r="V8">
        <v>0</v>
      </c>
    </row>
    <row r="9" spans="1:22">
      <c r="B9" s="37">
        <v>104110</v>
      </c>
      <c r="C9">
        <v>0</v>
      </c>
      <c r="D9" t="s">
        <v>18</v>
      </c>
      <c r="E9" t="s">
        <v>473</v>
      </c>
      <c r="F9" t="s">
        <v>435</v>
      </c>
      <c r="G9" t="s">
        <v>407</v>
      </c>
      <c r="H9" t="s">
        <v>18</v>
      </c>
      <c r="I9">
        <v>0</v>
      </c>
      <c r="J9">
        <v>40</v>
      </c>
      <c r="O9" s="37">
        <v>104110</v>
      </c>
      <c r="P9">
        <v>0</v>
      </c>
      <c r="Q9" t="s">
        <v>18</v>
      </c>
      <c r="R9" t="s">
        <v>473</v>
      </c>
      <c r="S9" t="s">
        <v>435</v>
      </c>
      <c r="T9" t="s">
        <v>407</v>
      </c>
      <c r="U9" t="s">
        <v>18</v>
      </c>
      <c r="V9">
        <v>0</v>
      </c>
    </row>
    <row r="10" spans="1:22">
      <c r="B10" s="37">
        <v>105110</v>
      </c>
      <c r="C10">
        <v>0</v>
      </c>
      <c r="D10" t="s">
        <v>18</v>
      </c>
      <c r="E10" t="s">
        <v>427</v>
      </c>
      <c r="F10" t="s">
        <v>431</v>
      </c>
      <c r="G10" t="s">
        <v>407</v>
      </c>
      <c r="H10" t="s">
        <v>18</v>
      </c>
      <c r="I10">
        <v>0</v>
      </c>
      <c r="J10">
        <v>40</v>
      </c>
      <c r="O10" s="37">
        <v>105110</v>
      </c>
      <c r="P10">
        <v>0</v>
      </c>
      <c r="Q10" t="s">
        <v>18</v>
      </c>
      <c r="R10" t="s">
        <v>427</v>
      </c>
      <c r="S10" t="s">
        <v>431</v>
      </c>
      <c r="T10" t="s">
        <v>407</v>
      </c>
      <c r="U10" t="s">
        <v>18</v>
      </c>
      <c r="V10">
        <v>0</v>
      </c>
    </row>
    <row r="11" spans="1:22">
      <c r="B11" s="37">
        <v>106110</v>
      </c>
      <c r="C11">
        <v>0</v>
      </c>
      <c r="D11" t="s">
        <v>18</v>
      </c>
      <c r="E11" t="s">
        <v>433</v>
      </c>
      <c r="F11" t="s">
        <v>439</v>
      </c>
      <c r="G11" t="s">
        <v>407</v>
      </c>
      <c r="H11" t="s">
        <v>18</v>
      </c>
      <c r="I11">
        <v>0</v>
      </c>
      <c r="J11">
        <v>20</v>
      </c>
      <c r="O11" s="37">
        <v>106110</v>
      </c>
      <c r="P11">
        <v>0</v>
      </c>
      <c r="Q11" t="s">
        <v>18</v>
      </c>
      <c r="R11" t="s">
        <v>433</v>
      </c>
      <c r="S11" t="s">
        <v>439</v>
      </c>
      <c r="T11" t="s">
        <v>407</v>
      </c>
      <c r="U11" t="s">
        <v>18</v>
      </c>
      <c r="V11">
        <v>0</v>
      </c>
    </row>
    <row r="12" spans="1:22">
      <c r="B12" s="37">
        <v>107110</v>
      </c>
      <c r="C12">
        <v>0</v>
      </c>
      <c r="D12" t="s">
        <v>18</v>
      </c>
      <c r="E12" t="s">
        <v>441</v>
      </c>
      <c r="F12" t="s">
        <v>443</v>
      </c>
      <c r="G12" t="s">
        <v>407</v>
      </c>
      <c r="H12" t="s">
        <v>18</v>
      </c>
      <c r="I12">
        <v>0</v>
      </c>
      <c r="J12">
        <v>20</v>
      </c>
      <c r="O12" s="37">
        <v>107110</v>
      </c>
      <c r="P12">
        <v>0</v>
      </c>
      <c r="Q12" t="s">
        <v>18</v>
      </c>
      <c r="R12" t="s">
        <v>441</v>
      </c>
      <c r="S12" t="s">
        <v>443</v>
      </c>
      <c r="T12" t="s">
        <v>407</v>
      </c>
      <c r="U12" t="s">
        <v>18</v>
      </c>
      <c r="V12">
        <v>0</v>
      </c>
    </row>
    <row r="13" spans="1:22">
      <c r="B13" s="37">
        <v>108110</v>
      </c>
      <c r="C13">
        <v>0</v>
      </c>
      <c r="D13" t="s">
        <v>18</v>
      </c>
      <c r="E13" t="s">
        <v>445</v>
      </c>
      <c r="F13" t="s">
        <v>447</v>
      </c>
      <c r="G13" t="s">
        <v>407</v>
      </c>
      <c r="H13" t="s">
        <v>18</v>
      </c>
      <c r="I13">
        <v>0</v>
      </c>
      <c r="J13">
        <v>90</v>
      </c>
      <c r="O13" s="37">
        <v>108110</v>
      </c>
      <c r="P13">
        <v>0</v>
      </c>
      <c r="Q13" t="s">
        <v>18</v>
      </c>
      <c r="R13" t="s">
        <v>445</v>
      </c>
      <c r="S13" t="s">
        <v>447</v>
      </c>
      <c r="T13" t="s">
        <v>407</v>
      </c>
      <c r="U13" t="s">
        <v>18</v>
      </c>
      <c r="V13">
        <v>0</v>
      </c>
    </row>
    <row r="14" spans="1:22">
      <c r="B14" s="37">
        <v>109110</v>
      </c>
      <c r="C14">
        <v>0</v>
      </c>
      <c r="D14" t="s">
        <v>18</v>
      </c>
      <c r="E14" t="s">
        <v>449</v>
      </c>
      <c r="F14" t="s">
        <v>451</v>
      </c>
      <c r="G14" t="s">
        <v>407</v>
      </c>
      <c r="H14" t="s">
        <v>18</v>
      </c>
      <c r="I14">
        <v>0</v>
      </c>
      <c r="J14">
        <v>90</v>
      </c>
      <c r="O14" s="37">
        <v>109110</v>
      </c>
      <c r="P14">
        <v>0</v>
      </c>
      <c r="Q14" t="s">
        <v>18</v>
      </c>
      <c r="R14" t="s">
        <v>449</v>
      </c>
      <c r="S14" t="s">
        <v>451</v>
      </c>
      <c r="T14" t="s">
        <v>407</v>
      </c>
      <c r="U14" t="s">
        <v>18</v>
      </c>
      <c r="V14">
        <v>0</v>
      </c>
    </row>
    <row r="15" spans="1:22">
      <c r="B15" s="37">
        <v>110110</v>
      </c>
      <c r="C15">
        <v>0</v>
      </c>
      <c r="D15" t="s">
        <v>18</v>
      </c>
      <c r="E15" t="s">
        <v>497</v>
      </c>
      <c r="F15" t="s">
        <v>453</v>
      </c>
      <c r="G15" t="s">
        <v>407</v>
      </c>
      <c r="H15" t="s">
        <v>18</v>
      </c>
      <c r="I15">
        <v>0</v>
      </c>
      <c r="J15">
        <v>1</v>
      </c>
      <c r="O15" s="37">
        <v>110110</v>
      </c>
      <c r="P15">
        <v>0</v>
      </c>
      <c r="Q15" t="s">
        <v>18</v>
      </c>
      <c r="R15" t="s">
        <v>497</v>
      </c>
      <c r="S15" t="s">
        <v>453</v>
      </c>
      <c r="T15" t="s">
        <v>407</v>
      </c>
      <c r="U15" t="s">
        <v>18</v>
      </c>
      <c r="V15">
        <v>0</v>
      </c>
    </row>
    <row r="16" spans="1:22">
      <c r="B16" s="37">
        <v>111110</v>
      </c>
      <c r="C16">
        <v>0</v>
      </c>
      <c r="D16" t="s">
        <v>18</v>
      </c>
      <c r="E16" t="s">
        <v>420</v>
      </c>
      <c r="F16" t="s">
        <v>455</v>
      </c>
      <c r="G16" t="s">
        <v>445</v>
      </c>
      <c r="H16" t="s">
        <v>18</v>
      </c>
      <c r="I16">
        <v>0</v>
      </c>
      <c r="J16">
        <v>90</v>
      </c>
      <c r="O16" s="37">
        <v>111110</v>
      </c>
      <c r="P16">
        <v>0</v>
      </c>
      <c r="Q16" t="s">
        <v>18</v>
      </c>
      <c r="R16" t="s">
        <v>420</v>
      </c>
      <c r="S16" t="s">
        <v>455</v>
      </c>
      <c r="T16" t="s">
        <v>445</v>
      </c>
      <c r="U16" t="s">
        <v>18</v>
      </c>
      <c r="V16">
        <v>0</v>
      </c>
    </row>
    <row r="17" spans="2:22">
      <c r="B17" s="37">
        <v>112110</v>
      </c>
      <c r="C17">
        <v>3</v>
      </c>
      <c r="D17" t="s">
        <v>23</v>
      </c>
      <c r="E17" t="s">
        <v>457</v>
      </c>
      <c r="F17" t="s">
        <v>461</v>
      </c>
      <c r="G17" t="s">
        <v>459</v>
      </c>
      <c r="H17" t="s">
        <v>20</v>
      </c>
      <c r="I17">
        <v>1</v>
      </c>
      <c r="J17">
        <v>20</v>
      </c>
      <c r="O17" s="37">
        <v>112110</v>
      </c>
      <c r="P17">
        <v>3</v>
      </c>
      <c r="Q17" t="s">
        <v>23</v>
      </c>
      <c r="R17" t="s">
        <v>457</v>
      </c>
      <c r="S17" t="s">
        <v>461</v>
      </c>
      <c r="T17" t="s">
        <v>459</v>
      </c>
      <c r="U17" t="s">
        <v>20</v>
      </c>
      <c r="V17">
        <v>1</v>
      </c>
    </row>
    <row r="18" spans="2:22">
      <c r="B18" s="37">
        <v>113110</v>
      </c>
      <c r="C18">
        <v>3</v>
      </c>
      <c r="D18" t="s">
        <v>23</v>
      </c>
      <c r="E18" t="s">
        <v>463</v>
      </c>
      <c r="F18" t="s">
        <v>465</v>
      </c>
      <c r="G18" t="s">
        <v>457</v>
      </c>
      <c r="H18" t="s">
        <v>23</v>
      </c>
      <c r="I18">
        <v>3</v>
      </c>
      <c r="J18">
        <v>20</v>
      </c>
      <c r="O18" s="37">
        <v>113110</v>
      </c>
      <c r="P18">
        <v>3</v>
      </c>
      <c r="Q18" t="s">
        <v>23</v>
      </c>
      <c r="R18" t="s">
        <v>463</v>
      </c>
      <c r="S18" t="s">
        <v>465</v>
      </c>
      <c r="T18" t="s">
        <v>457</v>
      </c>
      <c r="U18" t="s">
        <v>23</v>
      </c>
      <c r="V18">
        <v>3</v>
      </c>
    </row>
    <row r="19" spans="2:22">
      <c r="B19" s="37">
        <v>114110</v>
      </c>
      <c r="C19">
        <v>0</v>
      </c>
      <c r="D19" t="s">
        <v>18</v>
      </c>
      <c r="E19" t="s">
        <v>467</v>
      </c>
      <c r="F19" t="s">
        <v>469</v>
      </c>
      <c r="G19" t="s">
        <v>463</v>
      </c>
      <c r="H19" t="s">
        <v>23</v>
      </c>
      <c r="I19">
        <v>3</v>
      </c>
      <c r="J19">
        <v>20</v>
      </c>
      <c r="O19" s="37">
        <v>114110</v>
      </c>
      <c r="P19">
        <v>0</v>
      </c>
      <c r="Q19" t="s">
        <v>18</v>
      </c>
      <c r="R19" t="s">
        <v>467</v>
      </c>
      <c r="S19" t="s">
        <v>469</v>
      </c>
      <c r="T19" t="s">
        <v>463</v>
      </c>
      <c r="U19" t="s">
        <v>23</v>
      </c>
      <c r="V19">
        <v>3</v>
      </c>
    </row>
    <row r="20" spans="2:22">
      <c r="B20" s="37">
        <v>115110</v>
      </c>
      <c r="C20">
        <v>1</v>
      </c>
      <c r="D20" t="s">
        <v>20</v>
      </c>
      <c r="E20" t="s">
        <v>459</v>
      </c>
      <c r="F20" t="s">
        <v>471</v>
      </c>
      <c r="G20" t="s">
        <v>473</v>
      </c>
      <c r="H20" t="s">
        <v>18</v>
      </c>
      <c r="I20">
        <v>0</v>
      </c>
      <c r="J20">
        <v>40</v>
      </c>
      <c r="O20" s="37">
        <v>115110</v>
      </c>
      <c r="P20">
        <v>1</v>
      </c>
      <c r="Q20" t="s">
        <v>20</v>
      </c>
      <c r="R20" t="s">
        <v>459</v>
      </c>
      <c r="S20" t="s">
        <v>471</v>
      </c>
      <c r="T20" t="s">
        <v>473</v>
      </c>
      <c r="U20" t="s">
        <v>18</v>
      </c>
      <c r="V20">
        <v>0</v>
      </c>
    </row>
    <row r="21" spans="2:22">
      <c r="B21" s="37">
        <v>115101</v>
      </c>
      <c r="C21">
        <v>0</v>
      </c>
      <c r="D21" t="s">
        <v>18</v>
      </c>
      <c r="E21" t="s">
        <v>407</v>
      </c>
      <c r="F21" t="s">
        <v>477</v>
      </c>
      <c r="G21" t="s">
        <v>479</v>
      </c>
      <c r="H21" t="s">
        <v>54</v>
      </c>
      <c r="I21">
        <v>4</v>
      </c>
      <c r="J21">
        <v>10</v>
      </c>
      <c r="O21" s="37">
        <v>115101</v>
      </c>
      <c r="P21">
        <v>0</v>
      </c>
      <c r="Q21" t="s">
        <v>18</v>
      </c>
      <c r="R21" t="s">
        <v>407</v>
      </c>
      <c r="S21" t="s">
        <v>477</v>
      </c>
      <c r="T21" t="s">
        <v>479</v>
      </c>
      <c r="U21" t="s">
        <v>54</v>
      </c>
      <c r="V21">
        <v>4</v>
      </c>
    </row>
    <row r="22" spans="2:22">
      <c r="B22" s="37">
        <v>116110</v>
      </c>
      <c r="C22">
        <v>1</v>
      </c>
      <c r="D22" t="s">
        <v>20</v>
      </c>
      <c r="E22" t="s">
        <v>485</v>
      </c>
      <c r="F22" t="s">
        <v>475</v>
      </c>
      <c r="G22" t="s">
        <v>427</v>
      </c>
      <c r="H22" t="s">
        <v>18</v>
      </c>
      <c r="I22">
        <v>0</v>
      </c>
      <c r="J22">
        <v>40</v>
      </c>
      <c r="O22" s="37">
        <v>116110</v>
      </c>
      <c r="P22">
        <v>1</v>
      </c>
      <c r="Q22" t="s">
        <v>20</v>
      </c>
      <c r="R22" t="s">
        <v>485</v>
      </c>
      <c r="S22" t="s">
        <v>475</v>
      </c>
      <c r="T22" t="s">
        <v>427</v>
      </c>
      <c r="U22" t="s">
        <v>18</v>
      </c>
      <c r="V22">
        <v>0</v>
      </c>
    </row>
    <row r="23" spans="2:22">
      <c r="B23" s="37">
        <v>116101</v>
      </c>
      <c r="C23">
        <v>0</v>
      </c>
      <c r="D23" t="s">
        <v>18</v>
      </c>
      <c r="E23" t="s">
        <v>407</v>
      </c>
      <c r="F23" t="s">
        <v>481</v>
      </c>
      <c r="G23" t="s">
        <v>483</v>
      </c>
      <c r="H23" t="s">
        <v>54</v>
      </c>
      <c r="I23">
        <v>4</v>
      </c>
      <c r="J23">
        <v>10</v>
      </c>
      <c r="O23" s="37">
        <v>116101</v>
      </c>
      <c r="P23">
        <v>0</v>
      </c>
      <c r="Q23" t="s">
        <v>18</v>
      </c>
      <c r="R23" t="s">
        <v>407</v>
      </c>
      <c r="S23" t="s">
        <v>481</v>
      </c>
      <c r="T23" t="s">
        <v>483</v>
      </c>
      <c r="U23" t="s">
        <v>54</v>
      </c>
      <c r="V23">
        <v>4</v>
      </c>
    </row>
    <row r="24" spans="2:22">
      <c r="B24" s="37">
        <v>117110</v>
      </c>
      <c r="C24">
        <v>3</v>
      </c>
      <c r="D24" t="s">
        <v>23</v>
      </c>
      <c r="E24" t="s">
        <v>575</v>
      </c>
      <c r="F24" t="s">
        <v>487</v>
      </c>
      <c r="G24" t="s">
        <v>449</v>
      </c>
      <c r="H24" t="s">
        <v>18</v>
      </c>
      <c r="I24">
        <v>0</v>
      </c>
      <c r="J24">
        <v>90</v>
      </c>
      <c r="O24" s="37">
        <v>117110</v>
      </c>
      <c r="P24">
        <v>3</v>
      </c>
      <c r="Q24" t="s">
        <v>23</v>
      </c>
      <c r="R24" t="s">
        <v>575</v>
      </c>
      <c r="S24" t="s">
        <v>487</v>
      </c>
      <c r="T24" t="s">
        <v>449</v>
      </c>
      <c r="U24" t="s">
        <v>18</v>
      </c>
      <c r="V24">
        <v>0</v>
      </c>
    </row>
    <row r="25" spans="2:22">
      <c r="B25" s="37">
        <v>117101</v>
      </c>
      <c r="C25">
        <v>0</v>
      </c>
      <c r="D25" t="s">
        <v>18</v>
      </c>
      <c r="E25" t="s">
        <v>407</v>
      </c>
      <c r="F25" t="s">
        <v>489</v>
      </c>
      <c r="G25" t="s">
        <v>491</v>
      </c>
      <c r="H25" t="s">
        <v>54</v>
      </c>
      <c r="I25">
        <v>4</v>
      </c>
      <c r="J25">
        <v>20</v>
      </c>
      <c r="O25" s="37">
        <v>117101</v>
      </c>
      <c r="P25">
        <v>0</v>
      </c>
      <c r="Q25" t="s">
        <v>18</v>
      </c>
      <c r="R25" t="s">
        <v>407</v>
      </c>
      <c r="S25" t="s">
        <v>489</v>
      </c>
      <c r="T25" t="s">
        <v>491</v>
      </c>
      <c r="U25" t="s">
        <v>54</v>
      </c>
      <c r="V25">
        <v>4</v>
      </c>
    </row>
    <row r="26" spans="2:22">
      <c r="B26" s="37">
        <v>118110</v>
      </c>
      <c r="C26">
        <v>1</v>
      </c>
      <c r="D26" t="s">
        <v>20</v>
      </c>
      <c r="E26" t="s">
        <v>495</v>
      </c>
      <c r="F26" t="s">
        <v>493</v>
      </c>
      <c r="G26" t="s">
        <v>497</v>
      </c>
      <c r="H26" t="s">
        <v>18</v>
      </c>
      <c r="I26">
        <v>0</v>
      </c>
      <c r="J26">
        <v>20</v>
      </c>
      <c r="O26" s="37">
        <v>118110</v>
      </c>
      <c r="P26">
        <v>1</v>
      </c>
      <c r="Q26" t="s">
        <v>20</v>
      </c>
      <c r="R26" t="s">
        <v>495</v>
      </c>
      <c r="S26" t="s">
        <v>493</v>
      </c>
      <c r="T26" t="s">
        <v>497</v>
      </c>
      <c r="U26" t="s">
        <v>18</v>
      </c>
      <c r="V26">
        <v>0</v>
      </c>
    </row>
    <row r="27" spans="2:22">
      <c r="B27" s="37">
        <v>118101</v>
      </c>
      <c r="C27">
        <v>0</v>
      </c>
      <c r="D27" t="s">
        <v>18</v>
      </c>
      <c r="E27" t="s">
        <v>407</v>
      </c>
      <c r="F27" t="s">
        <v>507</v>
      </c>
      <c r="G27" t="s">
        <v>509</v>
      </c>
      <c r="H27" t="s">
        <v>54</v>
      </c>
      <c r="I27">
        <v>4</v>
      </c>
      <c r="J27">
        <v>90</v>
      </c>
      <c r="O27" s="37">
        <v>118101</v>
      </c>
      <c r="P27">
        <v>0</v>
      </c>
      <c r="Q27" t="s">
        <v>18</v>
      </c>
      <c r="R27" t="s">
        <v>407</v>
      </c>
      <c r="S27" t="s">
        <v>507</v>
      </c>
      <c r="T27" t="s">
        <v>509</v>
      </c>
      <c r="U27" t="s">
        <v>54</v>
      </c>
      <c r="V27">
        <v>4</v>
      </c>
    </row>
    <row r="28" spans="2:22">
      <c r="B28" s="37">
        <v>119110</v>
      </c>
      <c r="C28">
        <v>1</v>
      </c>
      <c r="D28" t="s">
        <v>20</v>
      </c>
      <c r="E28" t="s">
        <v>499</v>
      </c>
      <c r="F28" t="s">
        <v>501</v>
      </c>
      <c r="G28" t="s">
        <v>497</v>
      </c>
      <c r="H28" t="s">
        <v>18</v>
      </c>
      <c r="I28">
        <v>0</v>
      </c>
      <c r="J28">
        <v>10</v>
      </c>
      <c r="O28" s="37">
        <v>119110</v>
      </c>
      <c r="P28">
        <v>1</v>
      </c>
      <c r="Q28" t="s">
        <v>20</v>
      </c>
      <c r="R28" t="s">
        <v>499</v>
      </c>
      <c r="S28" t="s">
        <v>501</v>
      </c>
      <c r="T28" t="s">
        <v>497</v>
      </c>
      <c r="U28" t="s">
        <v>18</v>
      </c>
      <c r="V28">
        <v>0</v>
      </c>
    </row>
    <row r="29" spans="2:22">
      <c r="B29" s="37">
        <v>119101</v>
      </c>
      <c r="C29">
        <v>0</v>
      </c>
      <c r="D29" t="s">
        <v>18</v>
      </c>
      <c r="E29" t="s">
        <v>407</v>
      </c>
      <c r="F29" t="s">
        <v>503</v>
      </c>
      <c r="G29" t="s">
        <v>505</v>
      </c>
      <c r="H29" t="s">
        <v>54</v>
      </c>
      <c r="I29">
        <v>4</v>
      </c>
      <c r="J29">
        <v>90</v>
      </c>
      <c r="O29" s="37">
        <v>119101</v>
      </c>
      <c r="P29">
        <v>0</v>
      </c>
      <c r="Q29" t="s">
        <v>18</v>
      </c>
      <c r="R29" t="s">
        <v>407</v>
      </c>
      <c r="S29" t="s">
        <v>503</v>
      </c>
      <c r="T29" t="s">
        <v>505</v>
      </c>
      <c r="U29" t="s">
        <v>54</v>
      </c>
      <c r="V29">
        <v>4</v>
      </c>
    </row>
    <row r="30" spans="2:22">
      <c r="B30" s="37">
        <v>120110</v>
      </c>
      <c r="C30">
        <v>0</v>
      </c>
      <c r="D30" t="s">
        <v>18</v>
      </c>
      <c r="E30" t="s">
        <v>407</v>
      </c>
      <c r="F30" t="s">
        <v>511</v>
      </c>
      <c r="G30" t="s">
        <v>513</v>
      </c>
      <c r="H30" t="s">
        <v>20</v>
      </c>
      <c r="I30">
        <v>1</v>
      </c>
      <c r="J30">
        <v>20</v>
      </c>
      <c r="O30" s="37">
        <v>120110</v>
      </c>
      <c r="P30">
        <v>0</v>
      </c>
      <c r="Q30" t="s">
        <v>18</v>
      </c>
      <c r="R30" t="s">
        <v>407</v>
      </c>
      <c r="S30" t="s">
        <v>511</v>
      </c>
      <c r="T30" t="s">
        <v>513</v>
      </c>
      <c r="U30" t="s">
        <v>20</v>
      </c>
      <c r="V30">
        <v>1</v>
      </c>
    </row>
    <row r="31" spans="2:22">
      <c r="B31" s="37">
        <v>120101</v>
      </c>
      <c r="C31">
        <v>0</v>
      </c>
      <c r="D31" t="s">
        <v>18</v>
      </c>
      <c r="E31" t="s">
        <v>531</v>
      </c>
      <c r="F31" t="s">
        <v>535</v>
      </c>
      <c r="G31" t="s">
        <v>407</v>
      </c>
      <c r="H31" t="s">
        <v>18</v>
      </c>
      <c r="I31">
        <v>0</v>
      </c>
      <c r="J31">
        <v>30</v>
      </c>
      <c r="O31" s="37">
        <v>120101</v>
      </c>
      <c r="P31">
        <v>0</v>
      </c>
      <c r="Q31" t="s">
        <v>18</v>
      </c>
      <c r="R31" t="s">
        <v>531</v>
      </c>
      <c r="S31" t="s">
        <v>535</v>
      </c>
      <c r="T31" t="s">
        <v>407</v>
      </c>
      <c r="U31" t="s">
        <v>18</v>
      </c>
      <c r="V31">
        <v>0</v>
      </c>
    </row>
    <row r="32" spans="2:22">
      <c r="B32" s="37">
        <v>121110</v>
      </c>
      <c r="C32">
        <v>0</v>
      </c>
      <c r="D32" t="s">
        <v>18</v>
      </c>
      <c r="E32" t="s">
        <v>407</v>
      </c>
      <c r="F32" t="s">
        <v>525</v>
      </c>
      <c r="G32" t="s">
        <v>523</v>
      </c>
      <c r="H32" t="s">
        <v>20</v>
      </c>
      <c r="I32">
        <v>1</v>
      </c>
      <c r="J32">
        <v>20</v>
      </c>
      <c r="O32" s="37">
        <v>121110</v>
      </c>
      <c r="P32">
        <v>0</v>
      </c>
      <c r="Q32" t="s">
        <v>18</v>
      </c>
      <c r="R32" t="s">
        <v>407</v>
      </c>
      <c r="S32" t="s">
        <v>525</v>
      </c>
      <c r="T32" t="s">
        <v>523</v>
      </c>
      <c r="U32" t="s">
        <v>20</v>
      </c>
      <c r="V32">
        <v>1</v>
      </c>
    </row>
    <row r="33" spans="2:22">
      <c r="B33" s="37">
        <v>121101</v>
      </c>
      <c r="C33">
        <v>0</v>
      </c>
      <c r="D33" t="s">
        <v>18</v>
      </c>
      <c r="E33" t="s">
        <v>533</v>
      </c>
      <c r="F33" t="s">
        <v>537</v>
      </c>
      <c r="G33" t="s">
        <v>407</v>
      </c>
      <c r="H33" t="s">
        <v>18</v>
      </c>
      <c r="I33">
        <v>0</v>
      </c>
      <c r="J33">
        <v>30</v>
      </c>
      <c r="O33" s="37">
        <v>121101</v>
      </c>
      <c r="P33">
        <v>0</v>
      </c>
      <c r="Q33" t="s">
        <v>18</v>
      </c>
      <c r="R33" t="s">
        <v>533</v>
      </c>
      <c r="S33" t="s">
        <v>537</v>
      </c>
      <c r="T33" t="s">
        <v>407</v>
      </c>
      <c r="U33" t="s">
        <v>18</v>
      </c>
      <c r="V33">
        <v>0</v>
      </c>
    </row>
    <row r="34" spans="2:22">
      <c r="B34" s="37">
        <v>122110</v>
      </c>
      <c r="C34">
        <v>3</v>
      </c>
      <c r="D34" t="s">
        <v>23</v>
      </c>
      <c r="E34" t="s">
        <v>515</v>
      </c>
      <c r="F34" t="s">
        <v>517</v>
      </c>
      <c r="G34" t="s">
        <v>407</v>
      </c>
      <c r="H34" t="s">
        <v>18</v>
      </c>
      <c r="I34">
        <v>0</v>
      </c>
      <c r="J34">
        <v>20</v>
      </c>
      <c r="O34" s="37">
        <v>122110</v>
      </c>
      <c r="P34">
        <v>3</v>
      </c>
      <c r="Q34" t="s">
        <v>23</v>
      </c>
      <c r="R34" t="s">
        <v>515</v>
      </c>
      <c r="S34" t="s">
        <v>517</v>
      </c>
      <c r="T34" t="s">
        <v>407</v>
      </c>
      <c r="U34" t="s">
        <v>18</v>
      </c>
      <c r="V34">
        <v>0</v>
      </c>
    </row>
    <row r="35" spans="2:22">
      <c r="B35" s="37">
        <v>122101</v>
      </c>
      <c r="C35">
        <v>0</v>
      </c>
      <c r="D35" t="s">
        <v>18</v>
      </c>
      <c r="E35" t="s">
        <v>407</v>
      </c>
      <c r="F35" t="s">
        <v>519</v>
      </c>
      <c r="G35" t="s">
        <v>521</v>
      </c>
      <c r="H35" t="s">
        <v>54</v>
      </c>
      <c r="I35">
        <v>4</v>
      </c>
      <c r="J35">
        <v>30</v>
      </c>
      <c r="O35" s="37">
        <v>122101</v>
      </c>
      <c r="P35">
        <v>0</v>
      </c>
      <c r="Q35" t="s">
        <v>18</v>
      </c>
      <c r="R35" t="s">
        <v>407</v>
      </c>
      <c r="S35" t="s">
        <v>519</v>
      </c>
      <c r="T35" t="s">
        <v>521</v>
      </c>
      <c r="U35" t="s">
        <v>54</v>
      </c>
      <c r="V35">
        <v>4</v>
      </c>
    </row>
    <row r="36" spans="2:22">
      <c r="B36" s="37">
        <v>123110</v>
      </c>
      <c r="C36">
        <v>1</v>
      </c>
      <c r="D36" t="s">
        <v>20</v>
      </c>
      <c r="E36" t="s">
        <v>513</v>
      </c>
      <c r="F36" t="s">
        <v>527</v>
      </c>
      <c r="G36" t="s">
        <v>433</v>
      </c>
      <c r="H36" t="s">
        <v>18</v>
      </c>
      <c r="I36">
        <v>0</v>
      </c>
      <c r="J36">
        <v>20</v>
      </c>
      <c r="O36" s="37">
        <v>123110</v>
      </c>
      <c r="P36">
        <v>1</v>
      </c>
      <c r="Q36" t="s">
        <v>20</v>
      </c>
      <c r="R36" t="s">
        <v>513</v>
      </c>
      <c r="S36" t="s">
        <v>527</v>
      </c>
      <c r="T36" t="s">
        <v>433</v>
      </c>
      <c r="U36" t="s">
        <v>18</v>
      </c>
      <c r="V36">
        <v>0</v>
      </c>
    </row>
    <row r="37" spans="2:22">
      <c r="B37" s="37">
        <v>123101</v>
      </c>
      <c r="C37">
        <v>0</v>
      </c>
      <c r="D37" t="s">
        <v>18</v>
      </c>
      <c r="E37" t="s">
        <v>407</v>
      </c>
      <c r="F37" t="s">
        <v>539</v>
      </c>
      <c r="G37" t="s">
        <v>531</v>
      </c>
      <c r="H37" t="s">
        <v>18</v>
      </c>
      <c r="I37">
        <v>0</v>
      </c>
      <c r="J37">
        <v>30</v>
      </c>
      <c r="O37" s="37">
        <v>123101</v>
      </c>
      <c r="P37">
        <v>0</v>
      </c>
      <c r="Q37" t="s">
        <v>18</v>
      </c>
      <c r="R37" t="s">
        <v>407</v>
      </c>
      <c r="S37" t="s">
        <v>539</v>
      </c>
      <c r="T37" t="s">
        <v>531</v>
      </c>
      <c r="U37" t="s">
        <v>18</v>
      </c>
      <c r="V37">
        <v>0</v>
      </c>
    </row>
    <row r="38" spans="2:22">
      <c r="B38" s="37">
        <v>124110</v>
      </c>
      <c r="C38">
        <v>1</v>
      </c>
      <c r="D38" t="s">
        <v>20</v>
      </c>
      <c r="E38" t="s">
        <v>523</v>
      </c>
      <c r="F38" t="s">
        <v>529</v>
      </c>
      <c r="G38" t="s">
        <v>433</v>
      </c>
      <c r="H38" t="s">
        <v>18</v>
      </c>
      <c r="I38">
        <v>0</v>
      </c>
      <c r="J38">
        <v>20</v>
      </c>
      <c r="O38" s="37">
        <v>124110</v>
      </c>
      <c r="P38">
        <v>1</v>
      </c>
      <c r="Q38" t="s">
        <v>20</v>
      </c>
      <c r="R38" t="s">
        <v>523</v>
      </c>
      <c r="S38" t="s">
        <v>529</v>
      </c>
      <c r="T38" t="s">
        <v>433</v>
      </c>
      <c r="U38" t="s">
        <v>18</v>
      </c>
      <c r="V38">
        <v>0</v>
      </c>
    </row>
    <row r="39" spans="2:22">
      <c r="B39" s="37">
        <v>124101</v>
      </c>
      <c r="C39">
        <v>0</v>
      </c>
      <c r="D39" t="s">
        <v>18</v>
      </c>
      <c r="E39" t="s">
        <v>407</v>
      </c>
      <c r="F39" t="s">
        <v>541</v>
      </c>
      <c r="G39" t="s">
        <v>533</v>
      </c>
      <c r="H39" t="s">
        <v>18</v>
      </c>
      <c r="I39">
        <v>0</v>
      </c>
      <c r="J39">
        <v>30</v>
      </c>
      <c r="O39" s="37">
        <v>124101</v>
      </c>
      <c r="P39">
        <v>0</v>
      </c>
      <c r="Q39" t="s">
        <v>18</v>
      </c>
      <c r="R39" t="s">
        <v>407</v>
      </c>
      <c r="S39" t="s">
        <v>541</v>
      </c>
      <c r="T39" t="s">
        <v>533</v>
      </c>
      <c r="U39" t="s">
        <v>18</v>
      </c>
      <c r="V39">
        <v>0</v>
      </c>
    </row>
    <row r="40" spans="2:22">
      <c r="B40" s="37">
        <v>125110</v>
      </c>
      <c r="C40">
        <v>0</v>
      </c>
      <c r="D40" t="s">
        <v>18</v>
      </c>
      <c r="E40" t="s">
        <v>543</v>
      </c>
      <c r="F40" t="s">
        <v>545</v>
      </c>
      <c r="G40" t="s">
        <v>407</v>
      </c>
      <c r="H40" t="s">
        <v>18</v>
      </c>
      <c r="I40">
        <v>0</v>
      </c>
      <c r="J40">
        <v>1</v>
      </c>
      <c r="O40" s="37">
        <v>125110</v>
      </c>
      <c r="P40">
        <v>0</v>
      </c>
      <c r="Q40" t="s">
        <v>18</v>
      </c>
      <c r="R40" t="s">
        <v>543</v>
      </c>
      <c r="S40" t="s">
        <v>545</v>
      </c>
      <c r="T40" t="s">
        <v>407</v>
      </c>
      <c r="U40" t="s">
        <v>18</v>
      </c>
      <c r="V40">
        <v>0</v>
      </c>
    </row>
    <row r="41" spans="2:22">
      <c r="B41" s="37">
        <v>125101</v>
      </c>
      <c r="C41">
        <v>0</v>
      </c>
      <c r="D41" t="s">
        <v>18</v>
      </c>
      <c r="E41" t="s">
        <v>407</v>
      </c>
      <c r="F41" t="s">
        <v>549</v>
      </c>
      <c r="G41" t="s">
        <v>547</v>
      </c>
      <c r="H41" t="s">
        <v>20</v>
      </c>
      <c r="I41">
        <v>1</v>
      </c>
      <c r="J41">
        <v>30</v>
      </c>
      <c r="O41" s="37">
        <v>125101</v>
      </c>
      <c r="P41">
        <v>0</v>
      </c>
      <c r="Q41" t="s">
        <v>18</v>
      </c>
      <c r="R41" t="s">
        <v>407</v>
      </c>
      <c r="S41" t="s">
        <v>549</v>
      </c>
      <c r="T41" t="s">
        <v>547</v>
      </c>
      <c r="U41" t="s">
        <v>20</v>
      </c>
      <c r="V41">
        <v>1</v>
      </c>
    </row>
    <row r="42" spans="2:22">
      <c r="B42" s="37">
        <v>126110</v>
      </c>
      <c r="C42">
        <v>0</v>
      </c>
      <c r="D42" t="s">
        <v>18</v>
      </c>
      <c r="E42" t="s">
        <v>407</v>
      </c>
      <c r="F42" t="s">
        <v>551</v>
      </c>
      <c r="G42" t="s">
        <v>543</v>
      </c>
      <c r="H42" t="s">
        <v>18</v>
      </c>
      <c r="I42">
        <v>0</v>
      </c>
      <c r="J42">
        <v>1</v>
      </c>
      <c r="O42" s="37">
        <v>126110</v>
      </c>
      <c r="P42">
        <v>0</v>
      </c>
      <c r="Q42" t="s">
        <v>18</v>
      </c>
      <c r="R42" t="s">
        <v>407</v>
      </c>
      <c r="S42" t="s">
        <v>551</v>
      </c>
      <c r="T42" t="s">
        <v>543</v>
      </c>
      <c r="U42" t="s">
        <v>18</v>
      </c>
      <c r="V42">
        <v>0</v>
      </c>
    </row>
    <row r="43" spans="2:22">
      <c r="B43" s="37">
        <v>126101</v>
      </c>
      <c r="C43">
        <v>1</v>
      </c>
      <c r="D43" t="s">
        <v>20</v>
      </c>
      <c r="E43" t="s">
        <v>547</v>
      </c>
      <c r="F43" t="s">
        <v>551</v>
      </c>
      <c r="G43" t="s">
        <v>407</v>
      </c>
      <c r="H43" t="s">
        <v>18</v>
      </c>
      <c r="I43">
        <v>0</v>
      </c>
      <c r="J43">
        <v>30</v>
      </c>
      <c r="O43" s="37">
        <v>126101</v>
      </c>
      <c r="P43">
        <v>1</v>
      </c>
      <c r="Q43" t="s">
        <v>20</v>
      </c>
      <c r="R43" t="s">
        <v>547</v>
      </c>
      <c r="S43" t="s">
        <v>551</v>
      </c>
      <c r="T43" t="s">
        <v>407</v>
      </c>
      <c r="U43" t="s">
        <v>18</v>
      </c>
      <c r="V43">
        <v>0</v>
      </c>
    </row>
    <row r="44" spans="2:22">
      <c r="B44" s="37">
        <v>127110</v>
      </c>
      <c r="C44">
        <v>3</v>
      </c>
      <c r="D44" t="s">
        <v>23</v>
      </c>
      <c r="E44" t="s">
        <v>553</v>
      </c>
      <c r="F44" t="s">
        <v>555</v>
      </c>
      <c r="G44" t="s">
        <v>407</v>
      </c>
      <c r="H44" t="s">
        <v>18</v>
      </c>
      <c r="I44">
        <v>0</v>
      </c>
      <c r="J44">
        <v>30</v>
      </c>
      <c r="O44" s="37">
        <v>127110</v>
      </c>
      <c r="P44">
        <v>3</v>
      </c>
      <c r="Q44" t="s">
        <v>23</v>
      </c>
      <c r="R44" t="s">
        <v>553</v>
      </c>
      <c r="S44" t="s">
        <v>555</v>
      </c>
      <c r="T44" t="s">
        <v>407</v>
      </c>
      <c r="U44" t="s">
        <v>18</v>
      </c>
      <c r="V44">
        <v>0</v>
      </c>
    </row>
    <row r="45" spans="2:22">
      <c r="B45" s="37">
        <v>127101</v>
      </c>
      <c r="C45">
        <v>0</v>
      </c>
      <c r="D45" t="s">
        <v>18</v>
      </c>
      <c r="E45" t="s">
        <v>407</v>
      </c>
      <c r="F45" t="s">
        <v>557</v>
      </c>
      <c r="G45" t="s">
        <v>559</v>
      </c>
      <c r="H45" t="s">
        <v>54</v>
      </c>
      <c r="I45">
        <v>4</v>
      </c>
      <c r="J45">
        <v>1</v>
      </c>
      <c r="O45" s="37">
        <v>127101</v>
      </c>
      <c r="P45">
        <v>0</v>
      </c>
      <c r="Q45" t="s">
        <v>18</v>
      </c>
      <c r="R45" t="s">
        <v>407</v>
      </c>
      <c r="S45" t="s">
        <v>557</v>
      </c>
      <c r="T45" t="s">
        <v>559</v>
      </c>
      <c r="U45" t="s">
        <v>54</v>
      </c>
      <c r="V45">
        <v>4</v>
      </c>
    </row>
    <row r="46" spans="2:22">
      <c r="B46" s="37">
        <v>128110</v>
      </c>
      <c r="C46">
        <v>3</v>
      </c>
      <c r="D46" t="s">
        <v>23</v>
      </c>
      <c r="E46" t="s">
        <v>561</v>
      </c>
      <c r="F46" t="s">
        <v>563</v>
      </c>
      <c r="G46" t="s">
        <v>420</v>
      </c>
      <c r="H46" t="s">
        <v>18</v>
      </c>
      <c r="I46">
        <v>0</v>
      </c>
      <c r="J46">
        <v>90</v>
      </c>
      <c r="O46" s="37">
        <v>128110</v>
      </c>
      <c r="P46">
        <v>3</v>
      </c>
      <c r="Q46" t="s">
        <v>23</v>
      </c>
      <c r="R46" t="s">
        <v>561</v>
      </c>
      <c r="S46" t="s">
        <v>563</v>
      </c>
      <c r="T46" t="s">
        <v>420</v>
      </c>
      <c r="U46" t="s">
        <v>18</v>
      </c>
      <c r="V46">
        <v>0</v>
      </c>
    </row>
    <row r="47" spans="2:22">
      <c r="B47" s="37">
        <v>128101</v>
      </c>
      <c r="C47">
        <v>3</v>
      </c>
      <c r="D47" t="s">
        <v>23</v>
      </c>
      <c r="E47" t="s">
        <v>565</v>
      </c>
      <c r="F47" t="s">
        <v>573</v>
      </c>
      <c r="G47" t="s">
        <v>467</v>
      </c>
      <c r="H47" t="s">
        <v>18</v>
      </c>
      <c r="I47">
        <v>0</v>
      </c>
      <c r="J47">
        <v>20</v>
      </c>
      <c r="O47" s="37">
        <v>128101</v>
      </c>
      <c r="P47">
        <v>3</v>
      </c>
      <c r="Q47" t="s">
        <v>23</v>
      </c>
      <c r="R47" t="s">
        <v>565</v>
      </c>
      <c r="S47" t="s">
        <v>573</v>
      </c>
      <c r="T47" t="s">
        <v>467</v>
      </c>
      <c r="U47" t="s">
        <v>18</v>
      </c>
      <c r="V47">
        <v>0</v>
      </c>
    </row>
    <row r="48" spans="2:22">
      <c r="B48" s="37">
        <v>128202</v>
      </c>
      <c r="C48">
        <v>0</v>
      </c>
      <c r="D48" t="s">
        <v>18</v>
      </c>
      <c r="E48" t="s">
        <v>407</v>
      </c>
      <c r="F48" t="s">
        <v>573</v>
      </c>
      <c r="G48" t="s">
        <v>569</v>
      </c>
      <c r="H48" t="s">
        <v>54</v>
      </c>
      <c r="I48">
        <v>4</v>
      </c>
      <c r="J48">
        <v>20</v>
      </c>
      <c r="O48" s="37">
        <v>128202</v>
      </c>
      <c r="P48">
        <v>0</v>
      </c>
      <c r="Q48" t="s">
        <v>18</v>
      </c>
      <c r="R48" t="s">
        <v>407</v>
      </c>
      <c r="S48" t="s">
        <v>573</v>
      </c>
      <c r="T48" t="s">
        <v>569</v>
      </c>
      <c r="U48" t="s">
        <v>54</v>
      </c>
      <c r="V48">
        <v>4</v>
      </c>
    </row>
    <row r="49" spans="2:22">
      <c r="B49" s="37">
        <v>128110</v>
      </c>
      <c r="C49">
        <v>3</v>
      </c>
      <c r="D49" t="s">
        <v>23</v>
      </c>
      <c r="E49" t="s">
        <v>561</v>
      </c>
      <c r="F49" t="s">
        <v>563</v>
      </c>
      <c r="G49" t="s">
        <v>420</v>
      </c>
      <c r="H49" t="s">
        <v>18</v>
      </c>
      <c r="I49">
        <v>0</v>
      </c>
      <c r="J49">
        <v>10</v>
      </c>
      <c r="O49" s="37">
        <v>129202</v>
      </c>
      <c r="P49">
        <v>0</v>
      </c>
      <c r="Q49" t="s">
        <v>18</v>
      </c>
      <c r="R49" t="s">
        <v>407</v>
      </c>
      <c r="S49" t="s">
        <v>573</v>
      </c>
      <c r="T49" t="s">
        <v>567</v>
      </c>
      <c r="U49" t="s">
        <v>54</v>
      </c>
      <c r="V49">
        <v>4</v>
      </c>
    </row>
    <row r="50" spans="2:22">
      <c r="B50" s="37">
        <v>128101</v>
      </c>
      <c r="C50">
        <v>3</v>
      </c>
      <c r="D50" t="s">
        <v>23</v>
      </c>
      <c r="E50" t="s">
        <v>565</v>
      </c>
      <c r="F50" t="s">
        <v>573</v>
      </c>
      <c r="G50" t="s">
        <v>467</v>
      </c>
      <c r="H50" t="s">
        <v>18</v>
      </c>
      <c r="I50">
        <v>0</v>
      </c>
      <c r="J50">
        <v>20</v>
      </c>
      <c r="O50" s="37"/>
    </row>
    <row r="51" spans="2:22">
      <c r="B51" s="37">
        <v>129202</v>
      </c>
      <c r="C51">
        <v>0</v>
      </c>
      <c r="D51" t="s">
        <v>18</v>
      </c>
      <c r="E51" t="s">
        <v>407</v>
      </c>
      <c r="F51" t="s">
        <v>573</v>
      </c>
      <c r="G51" t="s">
        <v>567</v>
      </c>
      <c r="H51" t="s">
        <v>54</v>
      </c>
      <c r="I51">
        <v>4</v>
      </c>
      <c r="J51">
        <v>20</v>
      </c>
      <c r="O51" s="37"/>
    </row>
    <row r="52" spans="2:22">
      <c r="B52" s="37"/>
      <c r="O52" s="37"/>
    </row>
    <row r="53" spans="2:22">
      <c r="B53" s="37"/>
      <c r="O53" s="37"/>
    </row>
    <row r="54" spans="2:22">
      <c r="B54" s="37"/>
      <c r="O54" s="37"/>
    </row>
    <row r="55" spans="2:22">
      <c r="B55" s="37"/>
      <c r="O55" s="37"/>
    </row>
    <row r="56" spans="2:22">
      <c r="B56" s="37"/>
      <c r="O56" s="37"/>
    </row>
    <row r="57" spans="2:22">
      <c r="B57" s="37"/>
      <c r="O57" s="37"/>
    </row>
    <row r="58" spans="2:22">
      <c r="B58" s="37"/>
      <c r="O58" s="37"/>
    </row>
    <row r="59" spans="2:22">
      <c r="B59" s="37"/>
      <c r="O59" s="37"/>
    </row>
    <row r="60" spans="2:22">
      <c r="B60" s="37"/>
      <c r="O60" s="37"/>
    </row>
    <row r="61" spans="2:22">
      <c r="B61" s="37"/>
      <c r="O61" s="37"/>
    </row>
    <row r="62" spans="2:22">
      <c r="B62" s="37"/>
      <c r="O62" s="37"/>
    </row>
    <row r="63" spans="2:22">
      <c r="B63" s="37"/>
      <c r="O63" s="37"/>
    </row>
    <row r="64" spans="2:22">
      <c r="B64" s="37"/>
      <c r="O64" s="37"/>
    </row>
    <row r="65" spans="2:15">
      <c r="B65" s="37"/>
      <c r="O65" s="37"/>
    </row>
    <row r="66" spans="2:15">
      <c r="B66" s="37"/>
      <c r="O66" s="37"/>
    </row>
    <row r="67" spans="2:15">
      <c r="B67" s="37"/>
      <c r="O67" s="37"/>
    </row>
    <row r="68" spans="2:15">
      <c r="B68" s="37"/>
      <c r="O68" s="37"/>
    </row>
    <row r="69" spans="2:15">
      <c r="B69" s="37"/>
      <c r="O69" s="37"/>
    </row>
    <row r="70" spans="2:15">
      <c r="B70" s="37"/>
      <c r="O70" s="37"/>
    </row>
    <row r="71" spans="2:15">
      <c r="B71" s="37"/>
      <c r="O71" s="37"/>
    </row>
    <row r="72" spans="2:15">
      <c r="B72" s="37"/>
      <c r="O72" s="37"/>
    </row>
    <row r="73" spans="2:15">
      <c r="B73" s="37"/>
      <c r="O73" s="37"/>
    </row>
    <row r="74" spans="2:15">
      <c r="B74" s="37"/>
      <c r="O74" s="37"/>
    </row>
    <row r="75" spans="2:15">
      <c r="B75" s="37"/>
      <c r="O75" s="37"/>
    </row>
    <row r="76" spans="2:15">
      <c r="B76" s="37"/>
      <c r="O76" s="37"/>
    </row>
    <row r="77" spans="2:15">
      <c r="B77" s="37"/>
      <c r="O77" s="37"/>
    </row>
    <row r="78" spans="2:15">
      <c r="B78" s="37"/>
      <c r="O78" s="37"/>
    </row>
    <row r="79" spans="2:15">
      <c r="B79" s="37"/>
      <c r="O79" s="37"/>
    </row>
    <row r="80" spans="2:15">
      <c r="B80" s="37"/>
      <c r="O80" s="37"/>
    </row>
    <row r="81" spans="2:15">
      <c r="B81" s="37"/>
      <c r="O81" s="37"/>
    </row>
    <row r="82" spans="2:15">
      <c r="B82" s="37"/>
      <c r="O82" s="37"/>
    </row>
    <row r="83" spans="2:15">
      <c r="B83" s="37"/>
      <c r="O83" s="37"/>
    </row>
    <row r="84" spans="2:15">
      <c r="B84" s="37"/>
      <c r="O84" s="37"/>
    </row>
    <row r="85" spans="2:15">
      <c r="B85" s="37"/>
      <c r="O85" s="37"/>
    </row>
    <row r="86" spans="2:15">
      <c r="B86" s="37"/>
      <c r="O86" s="37"/>
    </row>
    <row r="87" spans="2:15">
      <c r="B87" s="37"/>
      <c r="O87" s="37"/>
    </row>
    <row r="88" spans="2:15">
      <c r="B88" s="37"/>
      <c r="O88" s="37"/>
    </row>
    <row r="89" spans="2:15">
      <c r="B89" s="37"/>
      <c r="O89" s="37"/>
    </row>
    <row r="90" spans="2:15">
      <c r="B90" s="37"/>
      <c r="O90" s="37"/>
    </row>
    <row r="91" spans="2:15">
      <c r="B91" s="37"/>
      <c r="O91" s="37"/>
    </row>
    <row r="92" spans="2:15">
      <c r="B92" s="37"/>
      <c r="O92" s="37"/>
    </row>
    <row r="93" spans="2:15">
      <c r="B93" s="37"/>
      <c r="O93" s="37"/>
    </row>
    <row r="94" spans="2:15">
      <c r="B94" s="37"/>
      <c r="O94" s="37"/>
    </row>
    <row r="95" spans="2:15">
      <c r="B95" s="37"/>
      <c r="O95" s="37"/>
    </row>
    <row r="96" spans="2:15">
      <c r="B96" s="37"/>
      <c r="O96" s="37"/>
    </row>
    <row r="97" spans="2:15">
      <c r="B97" s="37"/>
      <c r="O97" s="37"/>
    </row>
    <row r="98" spans="2:15">
      <c r="B98" s="37"/>
      <c r="O98" s="37"/>
    </row>
    <row r="99" spans="2:15">
      <c r="B99" s="37"/>
      <c r="O99" s="37"/>
    </row>
    <row r="100" spans="2:15">
      <c r="B100" s="37"/>
      <c r="O100" s="37"/>
    </row>
    <row r="101" spans="2:15">
      <c r="B101" s="37"/>
      <c r="O101" s="37"/>
    </row>
    <row r="102" spans="2:15">
      <c r="B102" s="37"/>
      <c r="O102" s="37"/>
    </row>
    <row r="103" spans="2:15">
      <c r="B103" s="37"/>
      <c r="O103" s="37"/>
    </row>
    <row r="104" spans="2:15">
      <c r="B104" s="37"/>
      <c r="O104" s="37"/>
    </row>
    <row r="105" spans="2:15">
      <c r="B105" s="37"/>
      <c r="O105" s="37"/>
    </row>
    <row r="106" spans="2:15">
      <c r="B106" s="37"/>
      <c r="O106" s="37"/>
    </row>
    <row r="107" spans="2:15">
      <c r="B107" s="37"/>
      <c r="O107" s="37"/>
    </row>
    <row r="108" spans="2:15">
      <c r="B108" s="37"/>
      <c r="O108" s="37"/>
    </row>
    <row r="109" spans="2:15">
      <c r="B109" s="37"/>
      <c r="O109" s="37"/>
    </row>
    <row r="110" spans="2:15">
      <c r="B110" s="37"/>
      <c r="O110" s="37"/>
    </row>
    <row r="111" spans="2:15">
      <c r="B111" s="37"/>
      <c r="O111" s="37"/>
    </row>
    <row r="112" spans="2:15">
      <c r="B112" s="37"/>
      <c r="O112" s="37"/>
    </row>
    <row r="113" spans="2:15">
      <c r="B113" s="37"/>
      <c r="O113" s="37"/>
    </row>
    <row r="114" spans="2:15">
      <c r="B114" s="37"/>
      <c r="O114" s="37"/>
    </row>
    <row r="115" spans="2:15">
      <c r="B115" s="37"/>
      <c r="O115" s="37"/>
    </row>
    <row r="116" spans="2:15">
      <c r="B116" s="37"/>
      <c r="O116" s="37"/>
    </row>
    <row r="117" spans="2:15">
      <c r="B117" s="37"/>
      <c r="O117" s="37"/>
    </row>
    <row r="118" spans="2:15">
      <c r="B118" s="37"/>
      <c r="O118" s="37"/>
    </row>
    <row r="119" spans="2:15">
      <c r="B119" s="37"/>
      <c r="O119" s="37"/>
    </row>
    <row r="120" spans="2:15">
      <c r="B120" s="37"/>
      <c r="O120" s="37"/>
    </row>
    <row r="121" spans="2:15">
      <c r="B121" s="37"/>
      <c r="O121" s="37"/>
    </row>
    <row r="122" spans="2:15">
      <c r="B122" s="37"/>
      <c r="O122" s="37"/>
    </row>
    <row r="123" spans="2:15">
      <c r="B123" s="37"/>
      <c r="O123" s="37"/>
    </row>
    <row r="124" spans="2:15">
      <c r="B124" s="37"/>
      <c r="O124" s="37"/>
    </row>
    <row r="125" spans="2:15">
      <c r="B125" s="37"/>
      <c r="O125" s="37"/>
    </row>
    <row r="126" spans="2:15">
      <c r="B126" s="37"/>
      <c r="O126" s="37"/>
    </row>
    <row r="127" spans="2:15">
      <c r="B127" s="37"/>
      <c r="O127" s="37"/>
    </row>
    <row r="128" spans="2:15">
      <c r="B128" s="37"/>
      <c r="O128" s="37"/>
    </row>
    <row r="129" spans="2:15">
      <c r="B129" s="37"/>
      <c r="O129" s="37"/>
    </row>
    <row r="130" spans="2:15">
      <c r="B130" s="37"/>
      <c r="O130" s="37"/>
    </row>
    <row r="131" spans="2:15">
      <c r="B131" s="37"/>
      <c r="O131" s="37"/>
    </row>
    <row r="132" spans="2:15">
      <c r="B132" s="37"/>
      <c r="O132" s="37"/>
    </row>
    <row r="133" spans="2:15">
      <c r="B133" s="37"/>
      <c r="O133" s="37"/>
    </row>
    <row r="134" spans="2:15">
      <c r="B134" s="37"/>
      <c r="O134" s="37"/>
    </row>
    <row r="135" spans="2:15">
      <c r="B135" s="37"/>
      <c r="O135" s="37"/>
    </row>
    <row r="136" spans="2:15">
      <c r="B136" s="37"/>
      <c r="O136" s="37"/>
    </row>
    <row r="137" spans="2:15">
      <c r="B137" s="37"/>
      <c r="O137" s="37"/>
    </row>
    <row r="138" spans="2:15">
      <c r="B138" s="37"/>
      <c r="O138" s="37"/>
    </row>
    <row r="139" spans="2:15">
      <c r="B139" s="37"/>
      <c r="O139" s="37"/>
    </row>
    <row r="140" spans="2:15">
      <c r="B140" s="37"/>
      <c r="O140" s="37"/>
    </row>
    <row r="141" spans="2:15">
      <c r="B141" s="37"/>
      <c r="O141" s="37"/>
    </row>
    <row r="142" spans="2:15">
      <c r="B142" s="37"/>
      <c r="O142" s="37"/>
    </row>
    <row r="143" spans="2:15">
      <c r="B143" s="37"/>
      <c r="O143" s="37"/>
    </row>
    <row r="144" spans="2:15">
      <c r="B144" s="37"/>
      <c r="O144" s="37"/>
    </row>
    <row r="145" spans="2:15">
      <c r="B145" s="37"/>
      <c r="O145" s="37"/>
    </row>
    <row r="146" spans="2:15">
      <c r="B146" s="37"/>
      <c r="O146" s="37"/>
    </row>
    <row r="147" spans="2:15">
      <c r="B147" s="37"/>
      <c r="O147" s="37"/>
    </row>
    <row r="148" spans="2:15">
      <c r="B148" s="37"/>
      <c r="O148" s="37"/>
    </row>
    <row r="149" spans="2:15">
      <c r="B149" s="37"/>
      <c r="O149" s="37"/>
    </row>
    <row r="150" spans="2:15">
      <c r="B150" s="37"/>
      <c r="O150" s="37"/>
    </row>
    <row r="151" spans="2:15">
      <c r="B151" s="37"/>
      <c r="O151" s="37"/>
    </row>
    <row r="152" spans="2:15">
      <c r="B152" s="37"/>
      <c r="O152" s="37"/>
    </row>
    <row r="153" spans="2:15">
      <c r="B153" s="37"/>
      <c r="O153" s="37"/>
    </row>
    <row r="154" spans="2:15">
      <c r="B154" s="37"/>
      <c r="O154" s="37"/>
    </row>
    <row r="155" spans="2:15">
      <c r="B155" s="37"/>
      <c r="O155" s="37"/>
    </row>
    <row r="156" spans="2:15">
      <c r="B156" s="37"/>
      <c r="O156" s="37"/>
    </row>
    <row r="157" spans="2:15">
      <c r="B157" s="37"/>
      <c r="O157" s="37"/>
    </row>
    <row r="158" spans="2:15">
      <c r="B158" s="37"/>
      <c r="O158" s="37"/>
    </row>
    <row r="159" spans="2:15">
      <c r="B159" s="37"/>
      <c r="O159" s="37"/>
    </row>
    <row r="160" spans="2:15">
      <c r="B160" s="37"/>
      <c r="O160" s="37"/>
    </row>
    <row r="161" spans="2:15">
      <c r="B161" s="37"/>
      <c r="O161" s="37"/>
    </row>
    <row r="162" spans="2:15">
      <c r="B162" s="37"/>
      <c r="O162" s="37"/>
    </row>
    <row r="163" spans="2:15">
      <c r="B163" s="37"/>
      <c r="O163" s="37"/>
    </row>
    <row r="164" spans="2:15">
      <c r="B164" s="37"/>
      <c r="O164" s="37"/>
    </row>
    <row r="165" spans="2:15">
      <c r="B165" s="37"/>
      <c r="O165" s="37"/>
    </row>
    <row r="166" spans="2:15">
      <c r="B166" s="37"/>
      <c r="O166" s="37"/>
    </row>
    <row r="167" spans="2:15">
      <c r="B167" s="37"/>
      <c r="O167" s="37"/>
    </row>
    <row r="168" spans="2:15">
      <c r="B168" s="37"/>
      <c r="O168" s="37"/>
    </row>
    <row r="169" spans="2:15">
      <c r="B169" s="37"/>
      <c r="O169" s="37"/>
    </row>
    <row r="170" spans="2:15">
      <c r="B170" s="37"/>
      <c r="O170" s="37"/>
    </row>
    <row r="171" spans="2:15">
      <c r="B171" s="37"/>
      <c r="O171" s="37"/>
    </row>
    <row r="172" spans="2:15">
      <c r="B172" s="37"/>
      <c r="O172" s="37"/>
    </row>
    <row r="173" spans="2:15">
      <c r="B173" s="37"/>
      <c r="O173" s="37"/>
    </row>
    <row r="174" spans="2:15">
      <c r="B174" s="37"/>
      <c r="O174" s="37"/>
    </row>
    <row r="175" spans="2:15">
      <c r="B175" s="37"/>
      <c r="O175" s="37"/>
    </row>
    <row r="176" spans="2:15">
      <c r="B176" s="37"/>
      <c r="O176" s="37"/>
    </row>
    <row r="177" spans="2:15">
      <c r="B177" s="37"/>
      <c r="O177" s="37"/>
    </row>
    <row r="178" spans="2:15">
      <c r="B178" s="37"/>
      <c r="O178" s="37"/>
    </row>
    <row r="179" spans="2:15">
      <c r="B179" s="37"/>
      <c r="O179" s="37"/>
    </row>
    <row r="180" spans="2:15">
      <c r="B180" s="37"/>
      <c r="O180" s="37"/>
    </row>
    <row r="181" spans="2:15">
      <c r="B181" s="37"/>
      <c r="O181" s="37"/>
    </row>
    <row r="182" spans="2:15">
      <c r="B182" s="37"/>
      <c r="O182" s="37"/>
    </row>
    <row r="183" spans="2:15">
      <c r="B183" s="37"/>
      <c r="O183" s="37"/>
    </row>
    <row r="184" spans="2:15">
      <c r="B184" s="37"/>
      <c r="O184" s="37"/>
    </row>
    <row r="185" spans="2:15">
      <c r="B185" s="37"/>
      <c r="O185" s="37"/>
    </row>
    <row r="186" spans="2:15">
      <c r="B186" s="37"/>
      <c r="O186" s="37"/>
    </row>
    <row r="187" spans="2:15">
      <c r="B187" s="37"/>
      <c r="O187" s="37"/>
    </row>
    <row r="188" spans="2:15">
      <c r="B188" s="37"/>
      <c r="O188" s="37"/>
    </row>
    <row r="189" spans="2:15">
      <c r="B189" s="37"/>
      <c r="O189" s="37"/>
    </row>
    <row r="190" spans="2:15">
      <c r="B190" s="37"/>
      <c r="O190" s="37"/>
    </row>
    <row r="191" spans="2:15">
      <c r="B191" s="37"/>
      <c r="O191" s="37"/>
    </row>
    <row r="192" spans="2:15">
      <c r="B192" s="37"/>
      <c r="O192" s="37"/>
    </row>
    <row r="193" spans="2:15">
      <c r="B193" s="37"/>
      <c r="O193" s="37"/>
    </row>
    <row r="194" spans="2:15">
      <c r="B194" s="37"/>
      <c r="O194" s="37"/>
    </row>
    <row r="195" spans="2:15">
      <c r="B195" s="37"/>
      <c r="O195" s="37"/>
    </row>
    <row r="196" spans="2:15">
      <c r="B196" s="37"/>
      <c r="O196" s="37"/>
    </row>
    <row r="197" spans="2:15">
      <c r="B197" s="37"/>
      <c r="O197" s="37"/>
    </row>
    <row r="198" spans="2:15">
      <c r="B198" s="37"/>
      <c r="O198" s="37"/>
    </row>
    <row r="199" spans="2:15">
      <c r="B199" s="37"/>
      <c r="O199" s="37"/>
    </row>
    <row r="200" spans="2:15">
      <c r="B200" s="37"/>
      <c r="O200" s="37"/>
    </row>
    <row r="201" spans="2:15">
      <c r="B201" s="37"/>
      <c r="O201" s="37"/>
    </row>
    <row r="202" spans="2:15">
      <c r="B202" s="37"/>
      <c r="O202" s="37"/>
    </row>
    <row r="203" spans="2:15">
      <c r="B203" s="37"/>
      <c r="O203" s="37"/>
    </row>
    <row r="204" spans="2:15">
      <c r="B204" s="37"/>
      <c r="O204" s="37"/>
    </row>
    <row r="205" spans="2:15">
      <c r="B205" s="37"/>
      <c r="O205" s="37"/>
    </row>
    <row r="206" spans="2:15">
      <c r="B206" s="37"/>
      <c r="O206" s="37"/>
    </row>
    <row r="207" spans="2:15">
      <c r="B207" s="37"/>
      <c r="O207" s="37"/>
    </row>
    <row r="208" spans="2:15">
      <c r="B208" s="37"/>
      <c r="O208" s="37"/>
    </row>
    <row r="209" spans="2:15">
      <c r="B209" s="37"/>
      <c r="O209" s="37"/>
    </row>
    <row r="210" spans="2:15">
      <c r="B210" s="37"/>
      <c r="O210" s="37"/>
    </row>
    <row r="211" spans="2:15">
      <c r="B211" s="37"/>
      <c r="O211" s="37"/>
    </row>
    <row r="212" spans="2:15">
      <c r="B212" s="37"/>
      <c r="O212" s="37"/>
    </row>
    <row r="213" spans="2:15">
      <c r="B213" s="37"/>
      <c r="O213" s="37"/>
    </row>
    <row r="214" spans="2:15">
      <c r="B214" s="37"/>
      <c r="O214" s="37"/>
    </row>
    <row r="215" spans="2:15">
      <c r="B215" s="37"/>
      <c r="O215" s="37"/>
    </row>
    <row r="216" spans="2:15">
      <c r="B216" s="37"/>
      <c r="O216" s="37"/>
    </row>
    <row r="217" spans="2:15">
      <c r="B217" s="37"/>
      <c r="O217" s="37"/>
    </row>
    <row r="218" spans="2:15">
      <c r="B218" s="37"/>
      <c r="O218" s="37"/>
    </row>
    <row r="219" spans="2:15">
      <c r="B219" s="37"/>
      <c r="O219" s="37"/>
    </row>
    <row r="220" spans="2:15">
      <c r="B220" s="37"/>
      <c r="O220" s="37"/>
    </row>
    <row r="221" spans="2:15">
      <c r="B221" s="37"/>
      <c r="O221" s="37"/>
    </row>
    <row r="222" spans="2:15">
      <c r="B222" s="37"/>
      <c r="O222" s="37"/>
    </row>
    <row r="223" spans="2:15">
      <c r="B223" s="37"/>
      <c r="O223" s="37"/>
    </row>
    <row r="224" spans="2:15">
      <c r="B224" s="37"/>
      <c r="O224" s="37"/>
    </row>
    <row r="225" spans="2:15">
      <c r="B225" s="37"/>
      <c r="O225" s="37"/>
    </row>
    <row r="226" spans="2:15">
      <c r="B226" s="37"/>
      <c r="O226" s="37"/>
    </row>
    <row r="227" spans="2:15">
      <c r="B227" s="37"/>
      <c r="O227" s="37"/>
    </row>
    <row r="228" spans="2:15">
      <c r="B228" s="37"/>
      <c r="O228" s="37"/>
    </row>
    <row r="229" spans="2:15">
      <c r="B229" s="37"/>
      <c r="O229" s="37"/>
    </row>
    <row r="230" spans="2:15">
      <c r="B230" s="37"/>
      <c r="O230" s="37"/>
    </row>
    <row r="231" spans="2:15">
      <c r="B231" s="37"/>
      <c r="O231" s="37"/>
    </row>
    <row r="232" spans="2:15">
      <c r="B232" s="37"/>
      <c r="O232" s="37"/>
    </row>
    <row r="233" spans="2:15">
      <c r="B233" s="37"/>
      <c r="O233" s="37"/>
    </row>
    <row r="234" spans="2:15">
      <c r="B234" s="37"/>
      <c r="O234" s="37"/>
    </row>
    <row r="235" spans="2:15">
      <c r="B235" s="37"/>
      <c r="O235" s="37"/>
    </row>
    <row r="236" spans="2:15">
      <c r="B236" s="37"/>
      <c r="O236" s="37"/>
    </row>
    <row r="237" spans="2:15">
      <c r="B237" s="37"/>
      <c r="O237" s="37"/>
    </row>
    <row r="238" spans="2:15">
      <c r="B238" s="37"/>
      <c r="O238" s="37"/>
    </row>
    <row r="239" spans="2:15">
      <c r="B239" s="37"/>
      <c r="O239" s="37"/>
    </row>
    <row r="240" spans="2:15">
      <c r="B240" s="37"/>
      <c r="O240" s="37"/>
    </row>
    <row r="241" spans="2:15">
      <c r="B241" s="37"/>
      <c r="O241" s="37"/>
    </row>
    <row r="242" spans="2:15">
      <c r="B242" s="37"/>
      <c r="O242" s="37"/>
    </row>
    <row r="243" spans="2:15">
      <c r="B243" s="37"/>
      <c r="O243" s="37"/>
    </row>
    <row r="244" spans="2:15">
      <c r="B244" s="37"/>
      <c r="O244" s="37"/>
    </row>
    <row r="245" spans="2:15">
      <c r="B245" s="37"/>
      <c r="O245" s="37"/>
    </row>
    <row r="246" spans="2:15">
      <c r="B246" s="37"/>
      <c r="O246" s="37"/>
    </row>
    <row r="247" spans="2:15">
      <c r="B247" s="37"/>
      <c r="O247" s="37"/>
    </row>
    <row r="248" spans="2:15">
      <c r="B248" s="37"/>
      <c r="O248" s="37"/>
    </row>
    <row r="249" spans="2:15">
      <c r="B249" s="37"/>
      <c r="O249" s="37"/>
    </row>
    <row r="250" spans="2:15">
      <c r="B250" s="37"/>
      <c r="O250" s="37"/>
    </row>
    <row r="251" spans="2:15">
      <c r="B251" s="37"/>
      <c r="O251" s="37"/>
    </row>
    <row r="252" spans="2:15">
      <c r="B252" s="37"/>
      <c r="O252" s="37"/>
    </row>
    <row r="253" spans="2:15">
      <c r="B253" s="37"/>
      <c r="O253" s="37"/>
    </row>
    <row r="254" spans="2:15">
      <c r="B254" s="37"/>
      <c r="O254" s="37"/>
    </row>
    <row r="255" spans="2:15">
      <c r="B255" s="37"/>
      <c r="O255" s="37"/>
    </row>
    <row r="256" spans="2:15">
      <c r="B256" s="37"/>
      <c r="O256" s="37"/>
    </row>
    <row r="257" spans="2:15">
      <c r="B257" s="37"/>
      <c r="O257" s="37"/>
    </row>
    <row r="258" spans="2:15">
      <c r="B258" s="37"/>
      <c r="O258" s="37"/>
    </row>
    <row r="259" spans="2:15">
      <c r="B259" s="37"/>
      <c r="O259" s="37"/>
    </row>
    <row r="260" spans="2:15">
      <c r="B260" s="37"/>
      <c r="O260" s="37"/>
    </row>
    <row r="261" spans="2:15">
      <c r="B261" s="37"/>
      <c r="O261" s="37"/>
    </row>
    <row r="262" spans="2:15">
      <c r="B262" s="37"/>
      <c r="O262" s="37"/>
    </row>
    <row r="263" spans="2:15">
      <c r="B263" s="37"/>
      <c r="O263" s="37"/>
    </row>
    <row r="264" spans="2:15">
      <c r="B264" s="37"/>
      <c r="O264" s="37"/>
    </row>
    <row r="265" spans="2:15">
      <c r="B265" s="37"/>
      <c r="O265" s="37"/>
    </row>
    <row r="266" spans="2:15">
      <c r="B266" s="37"/>
      <c r="O266" s="37"/>
    </row>
    <row r="267" spans="2:15">
      <c r="B267" s="37"/>
      <c r="O267" s="37"/>
    </row>
    <row r="268" spans="2:15">
      <c r="B268" s="37"/>
      <c r="O268" s="37"/>
    </row>
    <row r="269" spans="2:15">
      <c r="B269" s="37"/>
      <c r="O269" s="37"/>
    </row>
    <row r="270" spans="2:15">
      <c r="B270" s="37"/>
      <c r="O270" s="37"/>
    </row>
    <row r="271" spans="2:15">
      <c r="B271" s="37"/>
      <c r="O271" s="37"/>
    </row>
    <row r="272" spans="2:15">
      <c r="B272" s="37"/>
      <c r="O272" s="37"/>
    </row>
    <row r="273" spans="2:15">
      <c r="B273" s="37"/>
      <c r="O273" s="37"/>
    </row>
    <row r="274" spans="2:15">
      <c r="B274" s="37"/>
      <c r="O274" s="37"/>
    </row>
    <row r="275" spans="2:15">
      <c r="B275" s="37"/>
      <c r="O275" s="37"/>
    </row>
    <row r="276" spans="2:15">
      <c r="B276" s="37"/>
      <c r="O276" s="37"/>
    </row>
    <row r="277" spans="2:15">
      <c r="B277" s="37"/>
      <c r="O277" s="37"/>
    </row>
    <row r="278" spans="2:15">
      <c r="B278" s="37"/>
      <c r="O278" s="37"/>
    </row>
    <row r="279" spans="2:15">
      <c r="B279" s="37"/>
      <c r="O279" s="37"/>
    </row>
    <row r="280" spans="2:15">
      <c r="B280" s="37"/>
      <c r="O280" s="37"/>
    </row>
    <row r="281" spans="2:15">
      <c r="B281" s="37"/>
      <c r="O281" s="37"/>
    </row>
    <row r="282" spans="2:15">
      <c r="B282" s="37"/>
      <c r="O282" s="37"/>
    </row>
    <row r="283" spans="2:15">
      <c r="B283" s="37"/>
      <c r="O283" s="37"/>
    </row>
    <row r="284" spans="2:15">
      <c r="B284" s="37"/>
      <c r="O284" s="37"/>
    </row>
    <row r="285" spans="2:15">
      <c r="B285" s="37"/>
      <c r="O285" s="37"/>
    </row>
    <row r="286" spans="2:15">
      <c r="B286" s="37"/>
      <c r="O286" s="37"/>
    </row>
    <row r="287" spans="2:15">
      <c r="B287" s="37"/>
      <c r="O287" s="37"/>
    </row>
    <row r="288" spans="2:15">
      <c r="B288" s="37"/>
      <c r="O288" s="37"/>
    </row>
    <row r="289" spans="2:15">
      <c r="B289" s="37"/>
      <c r="O289" s="37"/>
    </row>
    <row r="290" spans="2:15">
      <c r="B290" s="37"/>
      <c r="O290" s="37"/>
    </row>
    <row r="291" spans="2:15">
      <c r="B291" s="37"/>
      <c r="O291" s="37"/>
    </row>
    <row r="292" spans="2:15">
      <c r="B292" s="37"/>
      <c r="O292" s="37"/>
    </row>
    <row r="293" spans="2:15">
      <c r="B293" s="37"/>
      <c r="O293" s="37"/>
    </row>
    <row r="294" spans="2:15">
      <c r="B294" s="37"/>
      <c r="O294" s="37"/>
    </row>
    <row r="295" spans="2:15">
      <c r="B295" s="37"/>
      <c r="O295" s="37"/>
    </row>
    <row r="296" spans="2:15">
      <c r="B296" s="37"/>
      <c r="O296" s="37"/>
    </row>
    <row r="297" spans="2:15">
      <c r="B297" s="37"/>
      <c r="O297" s="37"/>
    </row>
    <row r="298" spans="2:15">
      <c r="B298" s="37"/>
      <c r="O298" s="37"/>
    </row>
    <row r="299" spans="2:15">
      <c r="B299" s="37"/>
      <c r="O299" s="37"/>
    </row>
    <row r="300" spans="2:15">
      <c r="B300" s="37"/>
      <c r="O300" s="37"/>
    </row>
    <row r="301" spans="2:15">
      <c r="B301" s="37"/>
      <c r="O301" s="37"/>
    </row>
    <row r="302" spans="2:15">
      <c r="B302" s="37"/>
      <c r="O302" s="37"/>
    </row>
    <row r="303" spans="2:15">
      <c r="B303" s="37"/>
      <c r="O303" s="37"/>
    </row>
    <row r="304" spans="2:15">
      <c r="B304" s="37"/>
      <c r="O304" s="37"/>
    </row>
    <row r="305" spans="2:15">
      <c r="B305" s="37"/>
      <c r="O305" s="37"/>
    </row>
    <row r="306" spans="2:15">
      <c r="B306" s="37"/>
      <c r="O306" s="37"/>
    </row>
    <row r="307" spans="2:15">
      <c r="B307" s="37"/>
      <c r="O307" s="37"/>
    </row>
    <row r="308" spans="2:15">
      <c r="B308" s="37"/>
      <c r="O308" s="37"/>
    </row>
    <row r="309" spans="2:15">
      <c r="B309" s="37"/>
      <c r="O309" s="37"/>
    </row>
    <row r="310" spans="2:15">
      <c r="B310" s="37"/>
      <c r="O310" s="37"/>
    </row>
    <row r="311" spans="2:15">
      <c r="B311" s="37"/>
      <c r="O311" s="37"/>
    </row>
    <row r="312" spans="2:15">
      <c r="B312" s="37"/>
      <c r="O312" s="37"/>
    </row>
    <row r="313" spans="2:15">
      <c r="B313" s="37"/>
      <c r="O313" s="37"/>
    </row>
    <row r="314" spans="2:15">
      <c r="B314" s="37"/>
      <c r="O314" s="37"/>
    </row>
    <row r="315" spans="2:15">
      <c r="B315" s="37"/>
      <c r="O315" s="37"/>
    </row>
    <row r="316" spans="2:15">
      <c r="B316" s="37"/>
      <c r="O316" s="37"/>
    </row>
    <row r="317" spans="2:15">
      <c r="B317" s="37"/>
      <c r="O317" s="37"/>
    </row>
    <row r="318" spans="2:15">
      <c r="B318" s="37"/>
      <c r="O318" s="37"/>
    </row>
    <row r="319" spans="2:15">
      <c r="B319" s="37"/>
      <c r="O319" s="37"/>
    </row>
    <row r="320" spans="2:15">
      <c r="B320" s="37"/>
      <c r="O320" s="37"/>
    </row>
    <row r="321" spans="2:15">
      <c r="B321" s="37"/>
      <c r="O321" s="37"/>
    </row>
    <row r="322" spans="2:15">
      <c r="B322" s="37"/>
      <c r="O322" s="37"/>
    </row>
    <row r="323" spans="2:15">
      <c r="B323" s="37"/>
      <c r="O323" s="37"/>
    </row>
    <row r="324" spans="2:15">
      <c r="B324" s="37"/>
      <c r="O324" s="37"/>
    </row>
    <row r="325" spans="2:15">
      <c r="B325" s="37"/>
      <c r="O325" s="37"/>
    </row>
    <row r="326" spans="2:15">
      <c r="B326" s="37"/>
      <c r="O326" s="37"/>
    </row>
    <row r="327" spans="2:15">
      <c r="B327" s="37"/>
      <c r="O327" s="37"/>
    </row>
    <row r="328" spans="2:15">
      <c r="B328" s="37"/>
      <c r="O328" s="37"/>
    </row>
    <row r="329" spans="2:15">
      <c r="B329" s="37"/>
      <c r="O329" s="37"/>
    </row>
    <row r="330" spans="2:15">
      <c r="B330" s="37"/>
      <c r="O330" s="37"/>
    </row>
    <row r="331" spans="2:15">
      <c r="B331" s="37"/>
      <c r="O331" s="37"/>
    </row>
    <row r="332" spans="2:15">
      <c r="B332" s="37"/>
      <c r="O332" s="37"/>
    </row>
    <row r="333" spans="2:15">
      <c r="B333" s="37"/>
      <c r="O333" s="37"/>
    </row>
    <row r="334" spans="2:15">
      <c r="B334" s="37"/>
      <c r="O334" s="37"/>
    </row>
    <row r="335" spans="2:15">
      <c r="B335" s="37"/>
      <c r="O335" s="37"/>
    </row>
    <row r="336" spans="2:15">
      <c r="B336" s="37"/>
      <c r="O336" s="37"/>
    </row>
    <row r="337" spans="2:15">
      <c r="B337" s="37"/>
      <c r="O337" s="37"/>
    </row>
    <row r="338" spans="2:15">
      <c r="B338" s="37"/>
      <c r="O338" s="37"/>
    </row>
    <row r="339" spans="2:15">
      <c r="B339" s="37"/>
      <c r="O339" s="37"/>
    </row>
    <row r="340" spans="2:15">
      <c r="B340" s="37"/>
      <c r="O340" s="37"/>
    </row>
    <row r="341" spans="2:15">
      <c r="B341" s="37"/>
      <c r="O341" s="37"/>
    </row>
    <row r="342" spans="2:15">
      <c r="B342" s="37"/>
      <c r="O342" s="37"/>
    </row>
    <row r="343" spans="2:15">
      <c r="B343" s="37"/>
      <c r="O343" s="37"/>
    </row>
    <row r="344" spans="2:15">
      <c r="B344" s="37"/>
      <c r="O344" s="37"/>
    </row>
    <row r="345" spans="2:15">
      <c r="B345" s="37"/>
      <c r="O345" s="37"/>
    </row>
    <row r="346" spans="2:15">
      <c r="B346" s="37"/>
      <c r="O346" s="37"/>
    </row>
    <row r="347" spans="2:15">
      <c r="B347" s="37"/>
      <c r="O347" s="37"/>
    </row>
    <row r="348" spans="2:15">
      <c r="B348" s="37"/>
      <c r="O348" s="37"/>
    </row>
    <row r="349" spans="2:15">
      <c r="B349" s="37"/>
      <c r="O349" s="37"/>
    </row>
    <row r="350" spans="2:15">
      <c r="B350" s="37"/>
      <c r="O350" s="37"/>
    </row>
    <row r="351" spans="2:15">
      <c r="B351" s="37"/>
      <c r="O351" s="37"/>
    </row>
    <row r="352" spans="2:15">
      <c r="B352" s="37"/>
      <c r="O352" s="37"/>
    </row>
    <row r="353" spans="2:15">
      <c r="B353" s="37"/>
      <c r="O353" s="37"/>
    </row>
    <row r="354" spans="2:15">
      <c r="B354" s="37"/>
      <c r="O354" s="37"/>
    </row>
    <row r="355" spans="2:15">
      <c r="B355" s="37"/>
      <c r="O355" s="37"/>
    </row>
    <row r="356" spans="2:15">
      <c r="B356" s="37"/>
      <c r="O356" s="37"/>
    </row>
    <row r="357" spans="2:15">
      <c r="B357" s="37"/>
      <c r="O357" s="37"/>
    </row>
    <row r="358" spans="2:15">
      <c r="B358" s="37"/>
      <c r="O358" s="37"/>
    </row>
    <row r="359" spans="2:15">
      <c r="B359" s="37"/>
      <c r="O359" s="37"/>
    </row>
    <row r="360" spans="2:15">
      <c r="B360" s="37"/>
      <c r="O360" s="37"/>
    </row>
    <row r="361" spans="2:15">
      <c r="B361" s="37"/>
      <c r="O361" s="37"/>
    </row>
    <row r="362" spans="2:15">
      <c r="B362" s="37"/>
      <c r="O362" s="37"/>
    </row>
    <row r="363" spans="2:15">
      <c r="B363" s="37"/>
      <c r="O363" s="37"/>
    </row>
    <row r="364" spans="2:15">
      <c r="B364" s="37"/>
      <c r="O364" s="37"/>
    </row>
    <row r="365" spans="2:15">
      <c r="B365" s="37"/>
      <c r="O365" s="37"/>
    </row>
    <row r="366" spans="2:15">
      <c r="B366" s="37"/>
      <c r="O366" s="37"/>
    </row>
    <row r="367" spans="2:15">
      <c r="B367" s="37"/>
      <c r="O367" s="37"/>
    </row>
    <row r="368" spans="2:15">
      <c r="B368" s="37"/>
      <c r="O368" s="37"/>
    </row>
    <row r="369" spans="2:15">
      <c r="B369" s="37"/>
      <c r="O369" s="37"/>
    </row>
    <row r="370" spans="2:15">
      <c r="B370" s="37"/>
      <c r="O370" s="37"/>
    </row>
    <row r="371" spans="2:15">
      <c r="B371" s="37"/>
      <c r="O371" s="37"/>
    </row>
    <row r="372" spans="2:15">
      <c r="B372" s="37"/>
      <c r="O372" s="37"/>
    </row>
    <row r="373" spans="2:15">
      <c r="B373" s="37"/>
      <c r="O373" s="37"/>
    </row>
    <row r="374" spans="2:15">
      <c r="B374" s="37"/>
      <c r="O374" s="37"/>
    </row>
    <row r="375" spans="2:15">
      <c r="B375" s="37"/>
      <c r="O375" s="37"/>
    </row>
    <row r="376" spans="2:15">
      <c r="B376" s="37"/>
      <c r="O376" s="37"/>
    </row>
    <row r="377" spans="2:15">
      <c r="B377" s="37"/>
      <c r="O377" s="37"/>
    </row>
    <row r="378" spans="2:15">
      <c r="B378" s="37"/>
      <c r="O378" s="37"/>
    </row>
    <row r="379" spans="2:15">
      <c r="B379" s="37"/>
      <c r="O379" s="37"/>
    </row>
    <row r="380" spans="2:15">
      <c r="B380" s="37"/>
      <c r="O380" s="37"/>
    </row>
    <row r="381" spans="2:15">
      <c r="B381" s="37"/>
      <c r="O381" s="37"/>
    </row>
    <row r="382" spans="2:15">
      <c r="B382" s="37"/>
      <c r="O382" s="37"/>
    </row>
    <row r="383" spans="2:15">
      <c r="B383" s="37"/>
      <c r="O383" s="37"/>
    </row>
    <row r="384" spans="2:15">
      <c r="B384" s="37"/>
      <c r="O384" s="37"/>
    </row>
    <row r="385" spans="2:15">
      <c r="B385" s="37"/>
      <c r="O385" s="37"/>
    </row>
    <row r="386" spans="2:15">
      <c r="B386" s="37"/>
      <c r="O386" s="37"/>
    </row>
    <row r="387" spans="2:15">
      <c r="B387" s="37"/>
      <c r="O387" s="37"/>
    </row>
    <row r="388" spans="2:15">
      <c r="B388" s="37"/>
      <c r="O388" s="37"/>
    </row>
    <row r="389" spans="2:15">
      <c r="B389" s="37"/>
      <c r="O389" s="37"/>
    </row>
    <row r="390" spans="2:15">
      <c r="B390" s="37"/>
      <c r="O390" s="37"/>
    </row>
    <row r="391" spans="2:15">
      <c r="B391" s="37"/>
      <c r="O391" s="37"/>
    </row>
    <row r="392" spans="2:15">
      <c r="B392" s="37"/>
      <c r="O392" s="37"/>
    </row>
    <row r="393" spans="2:15">
      <c r="B393" s="37"/>
      <c r="O393" s="37"/>
    </row>
    <row r="394" spans="2:15">
      <c r="B394" s="37"/>
      <c r="O394" s="37"/>
    </row>
    <row r="395" spans="2:15">
      <c r="B395" s="37"/>
      <c r="O395" s="37"/>
    </row>
    <row r="396" spans="2:15">
      <c r="B396" s="37"/>
      <c r="O396" s="37"/>
    </row>
    <row r="397" spans="2:15">
      <c r="B397" s="37"/>
      <c r="O397" s="37"/>
    </row>
    <row r="398" spans="2:15">
      <c r="B398" s="37"/>
      <c r="O398" s="37"/>
    </row>
    <row r="399" spans="2:15">
      <c r="B399" s="37"/>
      <c r="O399" s="37"/>
    </row>
    <row r="400" spans="2:15">
      <c r="B400" s="37"/>
      <c r="O400" s="37"/>
    </row>
    <row r="401" spans="2:15">
      <c r="B401" s="37"/>
      <c r="O401" s="37"/>
    </row>
    <row r="402" spans="2:15">
      <c r="B402" s="37"/>
      <c r="O402" s="37"/>
    </row>
    <row r="403" spans="2:15">
      <c r="B403" s="37"/>
      <c r="O403" s="37"/>
    </row>
    <row r="404" spans="2:15">
      <c r="B404" s="37"/>
      <c r="O404" s="37"/>
    </row>
    <row r="405" spans="2:15">
      <c r="B405" s="37"/>
      <c r="O405" s="37"/>
    </row>
    <row r="406" spans="2:15">
      <c r="B406" s="37"/>
      <c r="O406" s="37"/>
    </row>
    <row r="407" spans="2:15">
      <c r="B407" s="37"/>
      <c r="O407" s="37"/>
    </row>
    <row r="408" spans="2:15">
      <c r="B408" s="37"/>
      <c r="O408" s="37"/>
    </row>
    <row r="409" spans="2:15">
      <c r="B409" s="37"/>
      <c r="O409" s="37"/>
    </row>
    <row r="410" spans="2:15">
      <c r="B410" s="37"/>
      <c r="O410" s="37"/>
    </row>
    <row r="411" spans="2:15">
      <c r="B411" s="37"/>
      <c r="O411" s="37"/>
    </row>
    <row r="412" spans="2:15">
      <c r="B412" s="37"/>
      <c r="O412" s="37"/>
    </row>
    <row r="413" spans="2:15">
      <c r="B413" s="37"/>
      <c r="O413" s="37"/>
    </row>
    <row r="414" spans="2:15">
      <c r="B414" s="37"/>
      <c r="O414" s="37"/>
    </row>
    <row r="415" spans="2:15">
      <c r="B415" s="37"/>
      <c r="O415" s="37"/>
    </row>
    <row r="416" spans="2:15">
      <c r="B416" s="37"/>
      <c r="O416" s="37"/>
    </row>
    <row r="417" spans="2:15">
      <c r="B417" s="37"/>
      <c r="O417" s="37"/>
    </row>
    <row r="418" spans="2:15">
      <c r="B418" s="37"/>
      <c r="O418" s="37"/>
    </row>
    <row r="419" spans="2:15">
      <c r="B419" s="37"/>
      <c r="O419" s="37"/>
    </row>
    <row r="420" spans="2:15">
      <c r="B420" s="37"/>
      <c r="O420" s="37"/>
    </row>
    <row r="421" spans="2:15">
      <c r="B421" s="37"/>
      <c r="O421" s="37"/>
    </row>
    <row r="422" spans="2:15">
      <c r="B422" s="37"/>
      <c r="O422" s="37"/>
    </row>
    <row r="423" spans="2:15">
      <c r="B423" s="37"/>
      <c r="O423" s="37"/>
    </row>
    <row r="424" spans="2:15">
      <c r="B424" s="37"/>
      <c r="O424" s="37"/>
    </row>
    <row r="425" spans="2:15">
      <c r="B425" s="37"/>
      <c r="O425" s="37"/>
    </row>
    <row r="426" spans="2:15">
      <c r="B426" s="37"/>
      <c r="O426" s="37"/>
    </row>
    <row r="427" spans="2:15">
      <c r="B427" s="37"/>
      <c r="O427" s="37"/>
    </row>
    <row r="428" spans="2:15">
      <c r="B428" s="37"/>
      <c r="O428" s="37"/>
    </row>
    <row r="429" spans="2:15">
      <c r="B429" s="37"/>
      <c r="O429" s="37"/>
    </row>
    <row r="430" spans="2:15">
      <c r="B430" s="37"/>
      <c r="O430" s="37"/>
    </row>
    <row r="431" spans="2:15">
      <c r="B431" s="37"/>
      <c r="O431" s="37"/>
    </row>
    <row r="432" spans="2:15">
      <c r="B432" s="37"/>
      <c r="O432" s="37"/>
    </row>
    <row r="433" spans="2:15">
      <c r="B433" s="37"/>
      <c r="O433" s="37"/>
    </row>
    <row r="434" spans="2:15">
      <c r="B434" s="37"/>
      <c r="O434" s="37"/>
    </row>
    <row r="435" spans="2:15">
      <c r="B435" s="37"/>
      <c r="O435" s="37"/>
    </row>
    <row r="436" spans="2:15">
      <c r="B436" s="37"/>
      <c r="O436" s="37"/>
    </row>
    <row r="437" spans="2:15">
      <c r="B437" s="37"/>
      <c r="O437" s="37"/>
    </row>
    <row r="438" spans="2:15">
      <c r="B438" s="37"/>
      <c r="O438" s="37"/>
    </row>
    <row r="439" spans="2:15">
      <c r="B439" s="37"/>
      <c r="O439" s="37"/>
    </row>
    <row r="440" spans="2:15">
      <c r="B440" s="37"/>
      <c r="O440" s="37"/>
    </row>
    <row r="441" spans="2:15">
      <c r="B441" s="37"/>
      <c r="O441" s="37"/>
    </row>
    <row r="442" spans="2:15">
      <c r="B442" s="37"/>
      <c r="O442" s="37"/>
    </row>
    <row r="443" spans="2:15">
      <c r="B443" s="37"/>
      <c r="O443" s="37"/>
    </row>
    <row r="444" spans="2:15">
      <c r="B444" s="37"/>
      <c r="O444" s="37"/>
    </row>
    <row r="445" spans="2:15">
      <c r="B445" s="37"/>
      <c r="O445" s="37"/>
    </row>
    <row r="446" spans="2:15">
      <c r="B446" s="37"/>
      <c r="O446" s="37"/>
    </row>
    <row r="447" spans="2:15">
      <c r="B447" s="37"/>
      <c r="O447" s="37"/>
    </row>
    <row r="448" spans="2:15">
      <c r="B448" s="37"/>
      <c r="O448" s="37"/>
    </row>
    <row r="449" spans="2:15">
      <c r="B449" s="37"/>
      <c r="O449" s="37"/>
    </row>
    <row r="450" spans="2:15">
      <c r="B450" s="37"/>
      <c r="O450" s="37"/>
    </row>
    <row r="451" spans="2:15">
      <c r="B451" s="37"/>
      <c r="O451" s="37"/>
    </row>
    <row r="452" spans="2:15">
      <c r="B452" s="37"/>
      <c r="O452" s="37"/>
    </row>
    <row r="453" spans="2:15">
      <c r="B453" s="37"/>
      <c r="O453" s="37"/>
    </row>
    <row r="454" spans="2:15">
      <c r="B454" s="37"/>
      <c r="O454" s="37"/>
    </row>
    <row r="455" spans="2:15">
      <c r="B455" s="37"/>
      <c r="O455" s="37"/>
    </row>
    <row r="456" spans="2:15">
      <c r="B456" s="37"/>
      <c r="O456" s="37"/>
    </row>
    <row r="457" spans="2:15">
      <c r="B457" s="37"/>
      <c r="O457" s="37"/>
    </row>
    <row r="458" spans="2:15">
      <c r="B458" s="37"/>
      <c r="O458" s="37"/>
    </row>
    <row r="459" spans="2:15">
      <c r="B459" s="37"/>
      <c r="O459" s="37"/>
    </row>
    <row r="460" spans="2:15">
      <c r="B460" s="37"/>
      <c r="O460" s="37"/>
    </row>
    <row r="461" spans="2:15">
      <c r="B461" s="37"/>
      <c r="O461" s="37"/>
    </row>
    <row r="462" spans="2:15">
      <c r="B462" s="37"/>
      <c r="O462" s="37"/>
    </row>
    <row r="463" spans="2:15">
      <c r="B463" s="37"/>
      <c r="O463" s="37"/>
    </row>
    <row r="464" spans="2:15">
      <c r="B464" s="37"/>
      <c r="O464" s="37"/>
    </row>
    <row r="465" spans="2:15">
      <c r="B465" s="37"/>
      <c r="O465" s="37"/>
    </row>
    <row r="466" spans="2:15">
      <c r="B466" s="37"/>
      <c r="O466" s="37"/>
    </row>
    <row r="467" spans="2:15">
      <c r="B467" s="37"/>
      <c r="O467" s="37"/>
    </row>
    <row r="468" spans="2:15">
      <c r="B468" s="37"/>
      <c r="O468" s="37"/>
    </row>
    <row r="469" spans="2:15">
      <c r="B469" s="37"/>
      <c r="O469" s="37"/>
    </row>
    <row r="470" spans="2:15">
      <c r="B470" s="37"/>
      <c r="O470" s="37"/>
    </row>
    <row r="471" spans="2:15">
      <c r="B471" s="37"/>
      <c r="O471" s="37"/>
    </row>
    <row r="472" spans="2:15">
      <c r="B472" s="37"/>
      <c r="O472" s="37"/>
    </row>
    <row r="473" spans="2:15">
      <c r="B473" s="37"/>
      <c r="O473" s="37"/>
    </row>
    <row r="474" spans="2:15">
      <c r="B474" s="37"/>
      <c r="O474" s="37"/>
    </row>
    <row r="475" spans="2:15">
      <c r="B475" s="37"/>
      <c r="O475" s="37"/>
    </row>
    <row r="476" spans="2:15">
      <c r="B476" s="37"/>
      <c r="O476" s="37"/>
    </row>
    <row r="477" spans="2:15">
      <c r="B477" s="37"/>
      <c r="O477" s="37"/>
    </row>
    <row r="478" spans="2:15">
      <c r="B478" s="37"/>
      <c r="O478" s="37"/>
    </row>
    <row r="479" spans="2:15">
      <c r="B479" s="37"/>
      <c r="O479" s="37"/>
    </row>
    <row r="480" spans="2:15">
      <c r="B480" s="37"/>
      <c r="O480" s="37"/>
    </row>
    <row r="481" spans="2:15">
      <c r="B481" s="37"/>
      <c r="O481" s="37"/>
    </row>
    <row r="482" spans="2:15">
      <c r="B482" s="37"/>
      <c r="O482" s="37"/>
    </row>
    <row r="483" spans="2:15">
      <c r="B483" s="37"/>
      <c r="O483" s="37"/>
    </row>
    <row r="484" spans="2:15">
      <c r="B484" s="37"/>
      <c r="O484" s="37"/>
    </row>
    <row r="485" spans="2:15">
      <c r="B485" s="37"/>
      <c r="O485" s="37"/>
    </row>
    <row r="486" spans="2:15">
      <c r="B486" s="37"/>
      <c r="O486" s="37"/>
    </row>
    <row r="487" spans="2:15">
      <c r="B487" s="37"/>
      <c r="O487" s="37"/>
    </row>
    <row r="488" spans="2:15">
      <c r="B488" s="37"/>
      <c r="O488" s="37"/>
    </row>
    <row r="489" spans="2:15">
      <c r="B489" s="37"/>
      <c r="O489" s="37"/>
    </row>
    <row r="490" spans="2:15">
      <c r="B490" s="37"/>
      <c r="O490" s="37"/>
    </row>
    <row r="491" spans="2:15">
      <c r="B491" s="37"/>
      <c r="O491" s="37"/>
    </row>
    <row r="492" spans="2:15">
      <c r="B492" s="37"/>
      <c r="O492" s="37"/>
    </row>
    <row r="493" spans="2:15">
      <c r="B493" s="37"/>
      <c r="O493" s="37"/>
    </row>
    <row r="494" spans="2:15">
      <c r="B494" s="37"/>
      <c r="O494" s="37"/>
    </row>
    <row r="495" spans="2:15">
      <c r="B495" s="37"/>
      <c r="O495" s="37"/>
    </row>
    <row r="496" spans="2:15">
      <c r="B496" s="37"/>
      <c r="O496" s="37"/>
    </row>
    <row r="497" spans="2:15">
      <c r="B497" s="37"/>
      <c r="O497" s="37"/>
    </row>
    <row r="498" spans="2:15">
      <c r="B498" s="37"/>
      <c r="O498" s="37"/>
    </row>
    <row r="499" spans="2:15">
      <c r="B499" s="37"/>
      <c r="O499" s="37"/>
    </row>
    <row r="500" spans="2:15">
      <c r="B500" s="37"/>
      <c r="O500" s="37"/>
    </row>
    <row r="501" spans="2:15">
      <c r="B501" s="37"/>
      <c r="O501" s="37"/>
    </row>
    <row r="502" spans="2:15">
      <c r="B502" s="37"/>
      <c r="O502" s="37"/>
    </row>
    <row r="503" spans="2:15">
      <c r="B503" s="37"/>
      <c r="O503" s="37"/>
    </row>
    <row r="504" spans="2:15">
      <c r="B504" s="37"/>
      <c r="O504" s="37"/>
    </row>
    <row r="505" spans="2:15">
      <c r="B505" s="37"/>
      <c r="O505" s="37"/>
    </row>
    <row r="506" spans="2:15">
      <c r="B506" s="37"/>
      <c r="O506" s="37"/>
    </row>
    <row r="507" spans="2:15">
      <c r="B507" s="37"/>
      <c r="O507" s="37"/>
    </row>
    <row r="508" spans="2:15">
      <c r="B508" s="37"/>
      <c r="O508" s="37"/>
    </row>
    <row r="509" spans="2:15">
      <c r="B509" s="37"/>
      <c r="O509" s="37"/>
    </row>
    <row r="510" spans="2:15">
      <c r="B510" s="37"/>
      <c r="O510" s="37"/>
    </row>
    <row r="511" spans="2:15">
      <c r="B511" s="37"/>
      <c r="O511" s="37"/>
    </row>
    <row r="512" spans="2:15">
      <c r="B512" s="37"/>
      <c r="O512" s="37"/>
    </row>
    <row r="513" spans="2:15">
      <c r="B513" s="37"/>
      <c r="O513" s="37"/>
    </row>
    <row r="514" spans="2:15">
      <c r="B514" s="37"/>
      <c r="O514" s="37"/>
    </row>
    <row r="515" spans="2:15">
      <c r="B515" s="37"/>
      <c r="O515" s="37"/>
    </row>
    <row r="516" spans="2:15">
      <c r="B516" s="37"/>
      <c r="O516" s="37"/>
    </row>
    <row r="517" spans="2:15">
      <c r="B517" s="37"/>
      <c r="O517" s="37"/>
    </row>
    <row r="518" spans="2:15">
      <c r="B518" s="37"/>
      <c r="O518" s="37"/>
    </row>
    <row r="519" spans="2:15">
      <c r="B519" s="37"/>
      <c r="O519" s="37"/>
    </row>
    <row r="520" spans="2:15">
      <c r="B520" s="37"/>
      <c r="O520" s="37"/>
    </row>
    <row r="521" spans="2:15">
      <c r="B521" s="37"/>
      <c r="O521" s="37"/>
    </row>
    <row r="522" spans="2:15">
      <c r="B522" s="37"/>
      <c r="O522" s="37"/>
    </row>
    <row r="523" spans="2:15">
      <c r="B523" s="37"/>
      <c r="O523" s="37"/>
    </row>
    <row r="524" spans="2:15">
      <c r="B524" s="37"/>
      <c r="O524" s="37"/>
    </row>
    <row r="525" spans="2:15">
      <c r="B525" s="37"/>
      <c r="O525" s="37"/>
    </row>
    <row r="526" spans="2:15">
      <c r="B526" s="37"/>
      <c r="O526" s="37"/>
    </row>
    <row r="527" spans="2:15">
      <c r="B527" s="37"/>
      <c r="O527" s="37"/>
    </row>
    <row r="528" spans="2:15">
      <c r="B528" s="37"/>
      <c r="O528" s="37"/>
    </row>
    <row r="529" spans="2:15">
      <c r="B529" s="37"/>
      <c r="O529" s="37"/>
    </row>
    <row r="530" spans="2:15">
      <c r="B530" s="37"/>
      <c r="O530" s="37"/>
    </row>
    <row r="531" spans="2:15">
      <c r="B531" s="37"/>
      <c r="O531" s="37"/>
    </row>
    <row r="532" spans="2:15">
      <c r="B532" s="37"/>
      <c r="O532" s="37"/>
    </row>
    <row r="533" spans="2:15">
      <c r="B533" s="37"/>
      <c r="O533" s="37"/>
    </row>
    <row r="534" spans="2:15">
      <c r="B534" s="37"/>
      <c r="O534" s="37"/>
    </row>
    <row r="535" spans="2:15">
      <c r="B535" s="37"/>
      <c r="O535" s="37"/>
    </row>
    <row r="536" spans="2:15">
      <c r="B536" s="37"/>
      <c r="O536" s="37"/>
    </row>
    <row r="537" spans="2:15">
      <c r="B537" s="37"/>
      <c r="O537" s="37"/>
    </row>
    <row r="538" spans="2:15">
      <c r="B538" s="37"/>
      <c r="O538" s="37"/>
    </row>
    <row r="539" spans="2:15">
      <c r="B539" s="37"/>
      <c r="O539" s="37"/>
    </row>
    <row r="540" spans="2:15">
      <c r="B540" s="37"/>
      <c r="O540" s="37"/>
    </row>
    <row r="541" spans="2:15">
      <c r="B541" s="37"/>
      <c r="O541" s="37"/>
    </row>
    <row r="542" spans="2:15">
      <c r="B542" s="37"/>
      <c r="O542" s="37"/>
    </row>
    <row r="543" spans="2:15">
      <c r="B543" s="37"/>
      <c r="O543" s="37"/>
    </row>
    <row r="544" spans="2:15">
      <c r="B544" s="37"/>
      <c r="O544" s="37"/>
    </row>
    <row r="545" spans="2:15">
      <c r="B545" s="37"/>
      <c r="O545" s="37"/>
    </row>
    <row r="546" spans="2:15">
      <c r="B546" s="37"/>
      <c r="O546" s="37"/>
    </row>
    <row r="547" spans="2:15">
      <c r="B547" s="37"/>
      <c r="O547" s="37"/>
    </row>
    <row r="548" spans="2:15">
      <c r="B548" s="37"/>
      <c r="O548" s="37"/>
    </row>
    <row r="549" spans="2:15">
      <c r="B549" s="37"/>
      <c r="O549" s="37"/>
    </row>
    <row r="550" spans="2:15">
      <c r="B550" s="37"/>
      <c r="O550" s="37"/>
    </row>
    <row r="551" spans="2:15">
      <c r="B551" s="37"/>
      <c r="O551" s="37"/>
    </row>
    <row r="552" spans="2:15">
      <c r="B552" s="37"/>
      <c r="O552" s="37"/>
    </row>
    <row r="553" spans="2:15">
      <c r="B553" s="37"/>
      <c r="O553" s="37"/>
    </row>
    <row r="554" spans="2:15">
      <c r="B554" s="37"/>
      <c r="O554" s="37"/>
    </row>
    <row r="555" spans="2:15">
      <c r="B555" s="37"/>
      <c r="O555" s="37"/>
    </row>
    <row r="556" spans="2:15">
      <c r="B556" s="37"/>
      <c r="O556" s="37"/>
    </row>
    <row r="557" spans="2:15">
      <c r="B557" s="37"/>
      <c r="O557" s="37"/>
    </row>
    <row r="558" spans="2:15">
      <c r="B558" s="37"/>
      <c r="O558" s="37"/>
    </row>
    <row r="559" spans="2:15">
      <c r="B559" s="37"/>
      <c r="O559" s="37"/>
    </row>
    <row r="560" spans="2:15">
      <c r="B560" s="37"/>
      <c r="O560" s="37"/>
    </row>
    <row r="561" spans="2:15">
      <c r="B561" s="37"/>
      <c r="O561" s="37"/>
    </row>
    <row r="562" spans="2:15">
      <c r="B562" s="37"/>
      <c r="O562" s="37"/>
    </row>
    <row r="563" spans="2:15">
      <c r="B563" s="37"/>
      <c r="O563" s="37"/>
    </row>
    <row r="564" spans="2:15">
      <c r="B564" s="37"/>
      <c r="O564" s="37"/>
    </row>
    <row r="565" spans="2:15">
      <c r="B565" s="37"/>
      <c r="O565" s="37"/>
    </row>
    <row r="566" spans="2:15">
      <c r="B566" s="37"/>
      <c r="O566" s="37"/>
    </row>
    <row r="567" spans="2:15">
      <c r="B567" s="37"/>
      <c r="O567" s="37"/>
    </row>
    <row r="568" spans="2:15">
      <c r="B568" s="37"/>
      <c r="O568" s="37"/>
    </row>
    <row r="569" spans="2:15">
      <c r="B569" s="37"/>
      <c r="O569" s="37"/>
    </row>
    <row r="570" spans="2:15">
      <c r="B570" s="37"/>
      <c r="O570" s="37"/>
    </row>
    <row r="571" spans="2:15">
      <c r="B571" s="37"/>
      <c r="O571" s="37"/>
    </row>
    <row r="572" spans="2:15">
      <c r="B572" s="37"/>
      <c r="O572" s="37"/>
    </row>
    <row r="573" spans="2:15">
      <c r="B573" s="37"/>
      <c r="O573" s="37"/>
    </row>
    <row r="574" spans="2:15">
      <c r="B574" s="37"/>
      <c r="O574" s="37"/>
    </row>
    <row r="575" spans="2:15">
      <c r="B575" s="37"/>
      <c r="O575" s="37"/>
    </row>
    <row r="576" spans="2:15">
      <c r="B576" s="37"/>
      <c r="O576" s="37"/>
    </row>
    <row r="577" spans="2:15">
      <c r="B577" s="37"/>
      <c r="O577" s="37"/>
    </row>
    <row r="578" spans="2:15">
      <c r="B578" s="37"/>
      <c r="O578" s="37"/>
    </row>
    <row r="579" spans="2:15">
      <c r="B579" s="37"/>
      <c r="O579" s="37"/>
    </row>
    <row r="580" spans="2:15">
      <c r="B580" s="37"/>
      <c r="O580" s="37"/>
    </row>
    <row r="581" spans="2:15">
      <c r="B581" s="37"/>
      <c r="O581" s="37"/>
    </row>
    <row r="582" spans="2:15">
      <c r="B582" s="37"/>
      <c r="O582" s="37"/>
    </row>
    <row r="583" spans="2:15">
      <c r="B583" s="37"/>
      <c r="O583" s="37"/>
    </row>
    <row r="584" spans="2:15">
      <c r="B584" s="37"/>
      <c r="O584" s="37"/>
    </row>
    <row r="585" spans="2:15">
      <c r="B585" s="37"/>
      <c r="O585" s="37"/>
    </row>
    <row r="586" spans="2:15">
      <c r="B586" s="37"/>
      <c r="O586" s="37"/>
    </row>
    <row r="587" spans="2:15">
      <c r="B587" s="37"/>
      <c r="O587" s="37"/>
    </row>
    <row r="588" spans="2:15">
      <c r="B588" s="37"/>
      <c r="O588" s="37"/>
    </row>
    <row r="589" spans="2:15">
      <c r="B589" s="37"/>
      <c r="O589" s="37"/>
    </row>
    <row r="590" spans="2:15">
      <c r="B590" s="37"/>
      <c r="O590" s="37"/>
    </row>
    <row r="591" spans="2:15">
      <c r="B591" s="37"/>
      <c r="O591" s="37"/>
    </row>
    <row r="592" spans="2:15">
      <c r="B592" s="37"/>
      <c r="O592" s="37"/>
    </row>
    <row r="593" spans="2:15">
      <c r="B593" s="37"/>
      <c r="O593" s="37"/>
    </row>
    <row r="594" spans="2:15">
      <c r="B594" s="37"/>
      <c r="O594" s="37"/>
    </row>
    <row r="595" spans="2:15">
      <c r="B595" s="37"/>
      <c r="O595" s="37"/>
    </row>
    <row r="596" spans="2:15">
      <c r="B596" s="37"/>
      <c r="O596" s="37"/>
    </row>
    <row r="597" spans="2:15">
      <c r="B597" s="37"/>
      <c r="O597" s="37"/>
    </row>
    <row r="598" spans="2:15">
      <c r="B598" s="37"/>
      <c r="O598" s="37"/>
    </row>
    <row r="599" spans="2:15">
      <c r="B599" s="37"/>
      <c r="O599" s="37"/>
    </row>
    <row r="600" spans="2:15">
      <c r="B600" s="37"/>
      <c r="O600" s="37"/>
    </row>
    <row r="601" spans="2:15">
      <c r="B601" s="37"/>
      <c r="O601" s="37"/>
    </row>
    <row r="602" spans="2:15">
      <c r="B602" s="37"/>
      <c r="O602" s="37"/>
    </row>
    <row r="603" spans="2:15">
      <c r="B603" s="37"/>
      <c r="O603" s="37"/>
    </row>
    <row r="604" spans="2:15">
      <c r="B604" s="37"/>
      <c r="O604" s="37"/>
    </row>
    <row r="605" spans="2:15">
      <c r="B605" s="37"/>
      <c r="O605" s="37"/>
    </row>
    <row r="606" spans="2:15">
      <c r="B606" s="37"/>
      <c r="O606" s="37"/>
    </row>
    <row r="607" spans="2:15">
      <c r="B607" s="37"/>
      <c r="O607" s="37"/>
    </row>
    <row r="608" spans="2:15">
      <c r="B608" s="37"/>
      <c r="O608" s="37"/>
    </row>
    <row r="609" spans="2:15">
      <c r="B609" s="37"/>
      <c r="O609" s="37"/>
    </row>
    <row r="610" spans="2:15">
      <c r="B610" s="37"/>
      <c r="O610" s="37"/>
    </row>
    <row r="611" spans="2:15">
      <c r="B611" s="37"/>
      <c r="O611" s="37"/>
    </row>
    <row r="612" spans="2:15">
      <c r="B612" s="37"/>
      <c r="O612" s="37"/>
    </row>
    <row r="613" spans="2:15">
      <c r="B613" s="37"/>
      <c r="O613" s="37"/>
    </row>
    <row r="614" spans="2:15">
      <c r="B614" s="37"/>
      <c r="O614" s="37"/>
    </row>
    <row r="615" spans="2:15">
      <c r="B615" s="37"/>
      <c r="O615" s="37"/>
    </row>
    <row r="616" spans="2:15">
      <c r="B616" s="37"/>
      <c r="O616" s="37"/>
    </row>
    <row r="617" spans="2:15">
      <c r="B617" s="37"/>
      <c r="O617" s="37"/>
    </row>
    <row r="618" spans="2:15">
      <c r="B618" s="37"/>
      <c r="O618" s="37"/>
    </row>
    <row r="619" spans="2:15">
      <c r="B619" s="37"/>
      <c r="O619" s="37"/>
    </row>
    <row r="620" spans="2:15">
      <c r="B620" s="37"/>
      <c r="O620" s="37"/>
    </row>
    <row r="621" spans="2:15">
      <c r="B621" s="37"/>
      <c r="O621" s="37"/>
    </row>
    <row r="622" spans="2:15">
      <c r="B622" s="37"/>
      <c r="O622" s="37"/>
    </row>
    <row r="623" spans="2:15">
      <c r="B623" s="37"/>
      <c r="O623" s="37"/>
    </row>
    <row r="624" spans="2:15">
      <c r="B624" s="37"/>
      <c r="O624" s="37"/>
    </row>
    <row r="625" spans="2:15">
      <c r="B625" s="37"/>
      <c r="O625" s="37"/>
    </row>
    <row r="626" spans="2:15">
      <c r="B626" s="37"/>
      <c r="O626" s="37"/>
    </row>
    <row r="627" spans="2:15">
      <c r="B627" s="37"/>
      <c r="O627" s="37"/>
    </row>
    <row r="628" spans="2:15">
      <c r="B628" s="37"/>
      <c r="O628" s="37"/>
    </row>
    <row r="629" spans="2:15">
      <c r="B629" s="37"/>
      <c r="O629" s="37"/>
    </row>
    <row r="630" spans="2:15">
      <c r="B630" s="37"/>
      <c r="O630" s="37"/>
    </row>
    <row r="631" spans="2:15">
      <c r="B631" s="37"/>
      <c r="O631" s="37"/>
    </row>
    <row r="632" spans="2:15">
      <c r="B632" s="37"/>
      <c r="O632" s="37"/>
    </row>
    <row r="633" spans="2:15">
      <c r="B633" s="37"/>
      <c r="O633" s="37"/>
    </row>
    <row r="634" spans="2:15">
      <c r="B634" s="37"/>
      <c r="O634" s="37"/>
    </row>
    <row r="635" spans="2:15">
      <c r="B635" s="37"/>
      <c r="O635" s="37"/>
    </row>
    <row r="636" spans="2:15">
      <c r="B636" s="37"/>
      <c r="O636" s="37"/>
    </row>
    <row r="637" spans="2:15">
      <c r="B637" s="37"/>
      <c r="O637" s="37"/>
    </row>
    <row r="638" spans="2:15">
      <c r="B638" s="37"/>
      <c r="O638" s="37"/>
    </row>
    <row r="639" spans="2:15">
      <c r="B639" s="37"/>
      <c r="O639" s="37"/>
    </row>
    <row r="640" spans="2:15">
      <c r="B640" s="37"/>
      <c r="O640" s="37"/>
    </row>
    <row r="641" spans="2:15">
      <c r="B641" s="37"/>
      <c r="O641" s="37"/>
    </row>
    <row r="642" spans="2:15">
      <c r="B642" s="37"/>
      <c r="O642" s="37"/>
    </row>
    <row r="643" spans="2:15">
      <c r="B643" s="37"/>
      <c r="O643" s="37"/>
    </row>
    <row r="644" spans="2:15">
      <c r="B644" s="37"/>
      <c r="O644" s="37"/>
    </row>
    <row r="645" spans="2:15">
      <c r="B645" s="37"/>
      <c r="O645" s="37"/>
    </row>
    <row r="646" spans="2:15">
      <c r="B646" s="37"/>
      <c r="O646" s="37"/>
    </row>
    <row r="647" spans="2:15">
      <c r="B647" s="37"/>
      <c r="O647" s="37"/>
    </row>
    <row r="648" spans="2:15">
      <c r="B648" s="37"/>
      <c r="O648" s="37"/>
    </row>
    <row r="649" spans="2:15">
      <c r="B649" s="37"/>
      <c r="O649" s="37"/>
    </row>
    <row r="650" spans="2:15">
      <c r="B650" s="37"/>
      <c r="O650" s="37"/>
    </row>
    <row r="651" spans="2:15">
      <c r="B651" s="37"/>
      <c r="O651" s="37"/>
    </row>
    <row r="652" spans="2:15">
      <c r="B652" s="37"/>
      <c r="O652" s="37"/>
    </row>
    <row r="653" spans="2:15">
      <c r="B653" s="37"/>
      <c r="O653" s="37"/>
    </row>
    <row r="654" spans="2:15">
      <c r="B654" s="37"/>
      <c r="O654" s="37"/>
    </row>
    <row r="655" spans="2:15">
      <c r="B655" s="37"/>
      <c r="O655" s="37"/>
    </row>
    <row r="656" spans="2:15">
      <c r="B656" s="37"/>
      <c r="O656" s="37"/>
    </row>
    <row r="657" spans="2:15">
      <c r="B657" s="37"/>
      <c r="O657" s="37"/>
    </row>
    <row r="658" spans="2:15">
      <c r="B658" s="37"/>
      <c r="O658" s="37"/>
    </row>
    <row r="659" spans="2:15">
      <c r="B659" s="37"/>
      <c r="O659" s="37"/>
    </row>
    <row r="660" spans="2:15">
      <c r="B660" s="37"/>
      <c r="O660" s="37"/>
    </row>
    <row r="661" spans="2:15">
      <c r="B661" s="37"/>
      <c r="O661" s="37"/>
    </row>
    <row r="662" spans="2:15">
      <c r="B662" s="37"/>
      <c r="O662" s="37"/>
    </row>
    <row r="663" spans="2:15">
      <c r="B663" s="37"/>
      <c r="O663" s="37"/>
    </row>
    <row r="664" spans="2:15">
      <c r="B664" s="37"/>
      <c r="O664" s="37"/>
    </row>
    <row r="665" spans="2:15">
      <c r="B665" s="37"/>
      <c r="O665" s="37"/>
    </row>
    <row r="666" spans="2:15">
      <c r="B666" s="37"/>
      <c r="O666" s="37"/>
    </row>
    <row r="667" spans="2:15">
      <c r="B667" s="37"/>
      <c r="O667" s="37"/>
    </row>
    <row r="668" spans="2:15">
      <c r="B668" s="37"/>
      <c r="O668" s="37"/>
    </row>
    <row r="669" spans="2:15">
      <c r="B669" s="37"/>
      <c r="O669" s="37"/>
    </row>
    <row r="670" spans="2:15">
      <c r="B670" s="37"/>
      <c r="O670" s="37"/>
    </row>
    <row r="671" spans="2:15">
      <c r="B671" s="37"/>
      <c r="O671" s="37"/>
    </row>
    <row r="672" spans="2:15">
      <c r="B672" s="37"/>
      <c r="O672" s="37"/>
    </row>
    <row r="673" spans="2:15">
      <c r="B673" s="37"/>
      <c r="O673" s="37"/>
    </row>
    <row r="674" spans="2:15">
      <c r="B674" s="37"/>
      <c r="O674" s="37"/>
    </row>
    <row r="675" spans="2:15">
      <c r="B675" s="37"/>
      <c r="O675" s="37"/>
    </row>
    <row r="676" spans="2:15">
      <c r="B676" s="37"/>
      <c r="O676" s="37"/>
    </row>
    <row r="677" spans="2:15">
      <c r="B677" s="37"/>
      <c r="O677" s="37"/>
    </row>
    <row r="678" spans="2:15">
      <c r="B678" s="37"/>
      <c r="O678" s="37"/>
    </row>
    <row r="679" spans="2:15">
      <c r="B679" s="37"/>
      <c r="O679" s="37"/>
    </row>
    <row r="680" spans="2:15">
      <c r="B680" s="37"/>
      <c r="O680" s="37"/>
    </row>
    <row r="681" spans="2:15">
      <c r="B681" s="37"/>
      <c r="O681" s="37"/>
    </row>
    <row r="682" spans="2:15">
      <c r="B682" s="37"/>
      <c r="O682" s="37"/>
    </row>
    <row r="683" spans="2:15">
      <c r="B683" s="37"/>
      <c r="O683" s="37"/>
    </row>
    <row r="684" spans="2:15">
      <c r="B684" s="37"/>
      <c r="O684" s="37"/>
    </row>
    <row r="685" spans="2:15">
      <c r="B685" s="37"/>
      <c r="O685" s="37"/>
    </row>
    <row r="686" spans="2:15">
      <c r="B686" s="37"/>
      <c r="O686" s="37"/>
    </row>
    <row r="687" spans="2:15">
      <c r="B687" s="37"/>
      <c r="O687" s="37"/>
    </row>
    <row r="688" spans="2:15">
      <c r="B688" s="37"/>
      <c r="O688" s="37"/>
    </row>
    <row r="689" spans="2:15">
      <c r="B689" s="37"/>
      <c r="O689" s="37"/>
    </row>
    <row r="690" spans="2:15">
      <c r="B690" s="37"/>
      <c r="O690" s="37"/>
    </row>
    <row r="691" spans="2:15">
      <c r="B691" s="37"/>
      <c r="O691" s="37"/>
    </row>
    <row r="692" spans="2:15">
      <c r="B692" s="37"/>
      <c r="O692" s="37"/>
    </row>
    <row r="693" spans="2:15">
      <c r="B693" s="37"/>
      <c r="O693" s="37"/>
    </row>
    <row r="694" spans="2:15">
      <c r="B694" s="37"/>
      <c r="O694" s="37"/>
    </row>
    <row r="695" spans="2:15">
      <c r="B695" s="37"/>
      <c r="O695" s="37"/>
    </row>
    <row r="696" spans="2:15">
      <c r="B696" s="37"/>
      <c r="O696" s="37"/>
    </row>
    <row r="697" spans="2:15">
      <c r="B697" s="37"/>
      <c r="O697" s="37"/>
    </row>
    <row r="698" spans="2:15">
      <c r="B698" s="37"/>
      <c r="O698" s="37"/>
    </row>
    <row r="699" spans="2:15">
      <c r="B699" s="37"/>
      <c r="O699" s="37"/>
    </row>
    <row r="700" spans="2:15">
      <c r="B700" s="37"/>
      <c r="O700" s="37"/>
    </row>
    <row r="701" spans="2:15">
      <c r="B701" s="37"/>
      <c r="O701" s="37"/>
    </row>
    <row r="702" spans="2:15">
      <c r="B702" s="37"/>
      <c r="O702" s="37"/>
    </row>
    <row r="703" spans="2:15">
      <c r="B703" s="37"/>
      <c r="O703" s="37"/>
    </row>
    <row r="704" spans="2:15">
      <c r="B704" s="37"/>
      <c r="O704" s="37"/>
    </row>
    <row r="705" spans="2:15">
      <c r="B705" s="37"/>
      <c r="O705" s="37"/>
    </row>
    <row r="706" spans="2:15">
      <c r="B706" s="37"/>
      <c r="O706" s="37"/>
    </row>
    <row r="707" spans="2:15">
      <c r="B707" s="37"/>
      <c r="O707" s="37"/>
    </row>
    <row r="708" spans="2:15">
      <c r="B708" s="37"/>
      <c r="O708" s="37"/>
    </row>
    <row r="709" spans="2:15">
      <c r="B709" s="37"/>
      <c r="O709" s="37"/>
    </row>
    <row r="710" spans="2:15">
      <c r="B710" s="37"/>
      <c r="O710" s="37"/>
    </row>
    <row r="711" spans="2:15">
      <c r="B711" s="37"/>
      <c r="O711" s="37"/>
    </row>
    <row r="712" spans="2:15">
      <c r="B712" s="37"/>
      <c r="O712" s="37"/>
    </row>
    <row r="713" spans="2:15">
      <c r="B713" s="37"/>
      <c r="O713" s="37"/>
    </row>
    <row r="714" spans="2:15">
      <c r="B714" s="37"/>
      <c r="O714" s="37"/>
    </row>
    <row r="715" spans="2:15">
      <c r="B715" s="37"/>
      <c r="O715" s="37"/>
    </row>
    <row r="716" spans="2:15">
      <c r="B716" s="37"/>
      <c r="O716" s="37"/>
    </row>
    <row r="717" spans="2:15">
      <c r="B717" s="37"/>
      <c r="O717" s="37"/>
    </row>
    <row r="718" spans="2:15">
      <c r="B718" s="37"/>
      <c r="O718" s="37"/>
    </row>
    <row r="719" spans="2:15">
      <c r="B719" s="37"/>
      <c r="O719" s="37"/>
    </row>
    <row r="720" spans="2:15">
      <c r="B720" s="37"/>
      <c r="O720" s="37"/>
    </row>
    <row r="721" spans="2:15">
      <c r="B721" s="37"/>
      <c r="O721" s="37"/>
    </row>
    <row r="722" spans="2:15">
      <c r="B722" s="37"/>
      <c r="O722" s="37"/>
    </row>
    <row r="723" spans="2:15">
      <c r="B723" s="37"/>
      <c r="O723" s="37"/>
    </row>
    <row r="724" spans="2:15">
      <c r="B724" s="37"/>
      <c r="O724" s="37"/>
    </row>
    <row r="725" spans="2:15">
      <c r="B725" s="37"/>
      <c r="O725" s="37"/>
    </row>
    <row r="726" spans="2:15">
      <c r="B726" s="37"/>
      <c r="O726" s="37"/>
    </row>
    <row r="727" spans="2:15">
      <c r="B727" s="37"/>
      <c r="O727" s="37"/>
    </row>
    <row r="728" spans="2:15">
      <c r="B728" s="37"/>
      <c r="O728" s="37"/>
    </row>
    <row r="729" spans="2:15">
      <c r="B729" s="37"/>
      <c r="O729" s="37"/>
    </row>
    <row r="730" spans="2:15">
      <c r="B730" s="37"/>
      <c r="O730" s="37"/>
    </row>
    <row r="731" spans="2:15">
      <c r="B731" s="37"/>
      <c r="O731" s="37"/>
    </row>
    <row r="732" spans="2:15">
      <c r="B732" s="37"/>
      <c r="O732" s="37"/>
    </row>
    <row r="733" spans="2:15">
      <c r="B733" s="37"/>
      <c r="O733" s="37"/>
    </row>
    <row r="734" spans="2:15">
      <c r="B734" s="37"/>
      <c r="O734" s="37"/>
    </row>
    <row r="735" spans="2:15">
      <c r="B735" s="37"/>
      <c r="O735" s="37"/>
    </row>
    <row r="736" spans="2:15">
      <c r="B736" s="37"/>
      <c r="O736" s="37"/>
    </row>
    <row r="737" spans="2:15">
      <c r="B737" s="37"/>
      <c r="O737" s="37"/>
    </row>
    <row r="738" spans="2:15">
      <c r="B738" s="37"/>
      <c r="O738" s="37"/>
    </row>
    <row r="739" spans="2:15">
      <c r="B739" s="37"/>
      <c r="O739" s="37"/>
    </row>
    <row r="740" spans="2:15">
      <c r="B740" s="37"/>
      <c r="O740" s="37"/>
    </row>
    <row r="741" spans="2:15">
      <c r="B741" s="37"/>
      <c r="O741" s="37"/>
    </row>
    <row r="742" spans="2:15">
      <c r="B742" s="37"/>
      <c r="O742" s="37"/>
    </row>
    <row r="743" spans="2:15">
      <c r="B743" s="37"/>
      <c r="O743" s="37"/>
    </row>
    <row r="744" spans="2:15">
      <c r="B744" s="37"/>
      <c r="O744" s="37"/>
    </row>
    <row r="745" spans="2:15">
      <c r="B745" s="37"/>
      <c r="O745" s="37"/>
    </row>
    <row r="746" spans="2:15">
      <c r="B746" s="37"/>
      <c r="O746" s="37"/>
    </row>
    <row r="747" spans="2:15">
      <c r="B747" s="37"/>
      <c r="O747" s="37"/>
    </row>
    <row r="748" spans="2:15">
      <c r="B748" s="37"/>
      <c r="O748" s="37"/>
    </row>
    <row r="749" spans="2:15">
      <c r="B749" s="37"/>
      <c r="O749" s="37"/>
    </row>
    <row r="750" spans="2:15">
      <c r="B750" s="37"/>
      <c r="O750" s="37"/>
    </row>
    <row r="751" spans="2:15">
      <c r="B751" s="37"/>
      <c r="O751" s="37"/>
    </row>
    <row r="752" spans="2:15">
      <c r="B752" s="37"/>
      <c r="O752" s="37"/>
    </row>
    <row r="753" spans="2:15">
      <c r="B753" s="37"/>
      <c r="O753" s="37"/>
    </row>
    <row r="754" spans="2:15">
      <c r="B754" s="37"/>
      <c r="O754" s="37"/>
    </row>
    <row r="755" spans="2:15">
      <c r="B755" s="37"/>
      <c r="O755" s="37"/>
    </row>
    <row r="756" spans="2:15">
      <c r="B756" s="37"/>
      <c r="O756" s="37"/>
    </row>
    <row r="757" spans="2:15">
      <c r="B757" s="37"/>
      <c r="O757" s="37"/>
    </row>
    <row r="758" spans="2:15">
      <c r="B758" s="37"/>
      <c r="O758" s="37"/>
    </row>
    <row r="759" spans="2:15">
      <c r="B759" s="37"/>
      <c r="O759" s="37"/>
    </row>
    <row r="760" spans="2:15">
      <c r="B760" s="37"/>
      <c r="O760" s="37"/>
    </row>
    <row r="761" spans="2:15">
      <c r="B761" s="37"/>
      <c r="O761" s="37"/>
    </row>
    <row r="762" spans="2:15">
      <c r="B762" s="37"/>
      <c r="O762" s="37"/>
    </row>
    <row r="763" spans="2:15">
      <c r="B763" s="37"/>
      <c r="O763" s="37"/>
    </row>
    <row r="764" spans="2:15">
      <c r="B764" s="37"/>
      <c r="O764" s="37"/>
    </row>
    <row r="765" spans="2:15">
      <c r="B765" s="37"/>
      <c r="O765" s="37"/>
    </row>
    <row r="766" spans="2:15">
      <c r="B766" s="37"/>
      <c r="O766" s="37"/>
    </row>
    <row r="767" spans="2:15">
      <c r="B767" s="37"/>
      <c r="O767" s="37"/>
    </row>
    <row r="768" spans="2:15">
      <c r="B768" s="37"/>
      <c r="O768" s="37"/>
    </row>
    <row r="769" spans="2:15">
      <c r="B769" s="37"/>
      <c r="O769" s="37"/>
    </row>
    <row r="770" spans="2:15">
      <c r="B770" s="37"/>
      <c r="O770" s="37"/>
    </row>
    <row r="771" spans="2:15">
      <c r="B771" s="37"/>
      <c r="O771" s="37"/>
    </row>
    <row r="772" spans="2:15">
      <c r="B772" s="37"/>
      <c r="O772" s="37"/>
    </row>
    <row r="773" spans="2:15">
      <c r="B773" s="37"/>
      <c r="O773" s="37"/>
    </row>
    <row r="774" spans="2:15">
      <c r="B774" s="37"/>
      <c r="O774" s="37"/>
    </row>
    <row r="775" spans="2:15">
      <c r="B775" s="37"/>
      <c r="O775" s="37"/>
    </row>
    <row r="776" spans="2:15">
      <c r="B776" s="37"/>
      <c r="O776" s="37"/>
    </row>
    <row r="777" spans="2:15">
      <c r="B777" s="37"/>
      <c r="O777" s="37"/>
    </row>
    <row r="778" spans="2:15">
      <c r="B778" s="37"/>
      <c r="O778" s="37"/>
    </row>
    <row r="779" spans="2:15">
      <c r="B779" s="37"/>
      <c r="O779" s="37"/>
    </row>
    <row r="780" spans="2:15">
      <c r="B780" s="37"/>
      <c r="O780" s="37"/>
    </row>
    <row r="781" spans="2:15">
      <c r="B781" s="37"/>
      <c r="O781" s="37"/>
    </row>
    <row r="782" spans="2:15">
      <c r="B782" s="37"/>
      <c r="O782" s="37"/>
    </row>
    <row r="783" spans="2:15">
      <c r="B783" s="37"/>
      <c r="O783" s="37"/>
    </row>
    <row r="784" spans="2:15">
      <c r="B784" s="37"/>
      <c r="O784" s="37"/>
    </row>
    <row r="785" spans="2:15">
      <c r="B785" s="37"/>
      <c r="O785" s="37"/>
    </row>
    <row r="786" spans="2:15">
      <c r="B786" s="37"/>
      <c r="O786" s="37"/>
    </row>
    <row r="787" spans="2:15">
      <c r="B787" s="37"/>
      <c r="O787" s="37"/>
    </row>
    <row r="788" spans="2:15">
      <c r="B788" s="37"/>
      <c r="O788" s="37"/>
    </row>
    <row r="789" spans="2:15">
      <c r="B789" s="37"/>
      <c r="O789" s="37"/>
    </row>
    <row r="790" spans="2:15">
      <c r="B790" s="37"/>
      <c r="O790" s="37"/>
    </row>
    <row r="791" spans="2:15">
      <c r="B791" s="37"/>
      <c r="O791" s="37"/>
    </row>
    <row r="792" spans="2:15">
      <c r="B792" s="37"/>
      <c r="O792" s="37"/>
    </row>
    <row r="793" spans="2:15">
      <c r="B793" s="37"/>
      <c r="O793" s="37"/>
    </row>
    <row r="794" spans="2:15">
      <c r="B794" s="37"/>
      <c r="O794" s="37"/>
    </row>
    <row r="795" spans="2:15">
      <c r="B795" s="37"/>
      <c r="O795" s="37"/>
    </row>
    <row r="796" spans="2:15">
      <c r="B796" s="37"/>
      <c r="O796" s="37"/>
    </row>
    <row r="797" spans="2:15">
      <c r="B797" s="37"/>
      <c r="O797" s="37"/>
    </row>
    <row r="798" spans="2:15">
      <c r="B798" s="37"/>
      <c r="O798" s="37"/>
    </row>
    <row r="799" spans="2:15">
      <c r="B799" s="37"/>
      <c r="O799" s="37"/>
    </row>
    <row r="800" spans="2:15">
      <c r="B800" s="37"/>
      <c r="O800" s="37"/>
    </row>
    <row r="801" spans="2:15">
      <c r="B801" s="37"/>
      <c r="O801" s="37"/>
    </row>
    <row r="802" spans="2:15">
      <c r="B802" s="37"/>
      <c r="O802" s="37"/>
    </row>
    <row r="803" spans="2:15">
      <c r="B803" s="37"/>
      <c r="O803" s="37"/>
    </row>
    <row r="804" spans="2:15">
      <c r="B804" s="37"/>
      <c r="O804" s="37"/>
    </row>
    <row r="805" spans="2:15">
      <c r="B805" s="37"/>
      <c r="O805" s="37"/>
    </row>
    <row r="806" spans="2:15">
      <c r="B806" s="37"/>
      <c r="O806" s="37"/>
    </row>
    <row r="807" spans="2:15">
      <c r="B807" s="37"/>
      <c r="O807" s="37"/>
    </row>
    <row r="808" spans="2:15">
      <c r="B808" s="37"/>
      <c r="O808" s="37"/>
    </row>
    <row r="809" spans="2:15">
      <c r="B809" s="37"/>
      <c r="O809" s="37"/>
    </row>
    <row r="810" spans="2:15">
      <c r="B810" s="37"/>
      <c r="O810" s="37"/>
    </row>
    <row r="811" spans="2:15">
      <c r="B811" s="37"/>
      <c r="O811" s="37"/>
    </row>
    <row r="812" spans="2:15">
      <c r="B812" s="37"/>
      <c r="O812" s="37"/>
    </row>
    <row r="813" spans="2:15">
      <c r="B813" s="37"/>
      <c r="O813" s="37"/>
    </row>
    <row r="814" spans="2:15">
      <c r="B814" s="37"/>
      <c r="O814" s="37"/>
    </row>
    <row r="815" spans="2:15">
      <c r="B815" s="37"/>
      <c r="O815" s="37"/>
    </row>
    <row r="816" spans="2:15">
      <c r="B816" s="37"/>
      <c r="O816" s="37"/>
    </row>
    <row r="817" spans="2:15">
      <c r="B817" s="37"/>
      <c r="O817" s="37"/>
    </row>
    <row r="818" spans="2:15">
      <c r="B818" s="37"/>
      <c r="O818" s="37"/>
    </row>
    <row r="819" spans="2:15">
      <c r="B819" s="37"/>
      <c r="O819" s="37"/>
    </row>
    <row r="820" spans="2:15">
      <c r="B820" s="37"/>
      <c r="O820" s="37"/>
    </row>
    <row r="821" spans="2:15">
      <c r="B821" s="37"/>
      <c r="O821" s="37"/>
    </row>
    <row r="822" spans="2:15">
      <c r="B822" s="37"/>
      <c r="O822" s="37"/>
    </row>
  </sheetData>
  <phoneticPr fontId="1"/>
  <pageMargins left="0.7" right="0.7" top="0.75" bottom="0.75" header="0.3" footer="0.3"/>
  <drawing r:id="rId1"/>
  <legacyDrawing r:id="rId2"/>
  <controls>
    <mc:AlternateContent xmlns:mc="http://schemas.openxmlformats.org/markup-compatibility/2006">
      <mc:Choice Requires="x14">
        <control shapeId="9217" r:id="rId3" name="Third__OverlapChecker">
          <controlPr defaultSize="0" autoLine="0" r:id="rId4">
            <anchor moveWithCells="1">
              <from>
                <xdr:col>1</xdr:col>
                <xdr:colOff>447675</xdr:colOff>
                <xdr:row>0</xdr:row>
                <xdr:rowOff>0</xdr:rowOff>
              </from>
              <to>
                <xdr:col>4</xdr:col>
                <xdr:colOff>457200</xdr:colOff>
                <xdr:row>1</xdr:row>
                <xdr:rowOff>190500</xdr:rowOff>
              </to>
            </anchor>
          </controlPr>
        </control>
      </mc:Choice>
      <mc:Fallback>
        <control shapeId="9217" r:id="rId3" name="Third__OverlapChecker"/>
      </mc:Fallback>
    </mc:AlternateContent>
    <mc:AlternateContent xmlns:mc="http://schemas.openxmlformats.org/markup-compatibility/2006">
      <mc:Choice Requires="x14">
        <control shapeId="9219" r:id="rId5" name="Fourth__SubjectTableCreate">
          <controlPr defaultSize="0" autoLine="0" autoPict="0" r:id="rId6">
            <anchor moveWithCells="1">
              <from>
                <xdr:col>6</xdr:col>
                <xdr:colOff>190500</xdr:colOff>
                <xdr:row>0</xdr:row>
                <xdr:rowOff>0</xdr:rowOff>
              </from>
              <to>
                <xdr:col>10</xdr:col>
                <xdr:colOff>142875</xdr:colOff>
                <xdr:row>1</xdr:row>
                <xdr:rowOff>190500</xdr:rowOff>
              </to>
            </anchor>
          </controlPr>
        </control>
      </mc:Choice>
      <mc:Fallback>
        <control shapeId="9219" r:id="rId5" name="Fourth__SubjectTableCreat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D4D9B-91AC-4783-94A0-5E0FF2896181}">
  <sheetPr codeName="Sheet6"/>
  <dimension ref="A1:U3"/>
  <sheetViews>
    <sheetView topLeftCell="I1" workbookViewId="0">
      <selection activeCell="I3" sqref="I3"/>
    </sheetView>
  </sheetViews>
  <sheetFormatPr defaultRowHeight="18.75"/>
  <cols>
    <col min="2" max="2" width="12.25" customWidth="1"/>
    <col min="11" max="11" width="16.625" customWidth="1"/>
  </cols>
  <sheetData>
    <row r="1" spans="1:21">
      <c r="A1" s="38" t="s">
        <v>34</v>
      </c>
      <c r="B1" s="38"/>
      <c r="C1" s="38" t="s">
        <v>35</v>
      </c>
      <c r="D1" s="38" t="s">
        <v>36</v>
      </c>
      <c r="E1" s="38" t="s">
        <v>37</v>
      </c>
      <c r="F1" s="38" t="s">
        <v>38</v>
      </c>
      <c r="G1" s="38" t="s">
        <v>39</v>
      </c>
      <c r="H1" s="38" t="s">
        <v>40</v>
      </c>
      <c r="I1" s="38" t="s">
        <v>41</v>
      </c>
      <c r="J1" s="38" t="s">
        <v>42</v>
      </c>
      <c r="K1" s="38"/>
      <c r="L1" s="38" t="s">
        <v>43</v>
      </c>
      <c r="M1" s="38" t="s">
        <v>44</v>
      </c>
      <c r="N1" s="38" t="s">
        <v>45</v>
      </c>
      <c r="O1" s="38" t="s">
        <v>46</v>
      </c>
      <c r="T1" t="s">
        <v>401</v>
      </c>
      <c r="U1" t="s">
        <v>402</v>
      </c>
    </row>
    <row r="2" spans="1:21">
      <c r="T2">
        <v>129110</v>
      </c>
      <c r="U2">
        <v>128110</v>
      </c>
    </row>
    <row r="3" spans="1:21">
      <c r="T3">
        <v>129101</v>
      </c>
      <c r="U3">
        <v>128101</v>
      </c>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16386" r:id="rId4" name="ReJournal">
          <controlPr defaultSize="0" autoLine="0" r:id="rId5">
            <anchor moveWithCells="1">
              <from>
                <xdr:col>23</xdr:col>
                <xdr:colOff>295275</xdr:colOff>
                <xdr:row>10</xdr:row>
                <xdr:rowOff>47625</xdr:rowOff>
              </from>
              <to>
                <xdr:col>27</xdr:col>
                <xdr:colOff>323850</xdr:colOff>
                <xdr:row>15</xdr:row>
                <xdr:rowOff>85725</xdr:rowOff>
              </to>
            </anchor>
          </controlPr>
        </control>
      </mc:Choice>
      <mc:Fallback>
        <control shapeId="16386" r:id="rId4" name="ReJournal"/>
      </mc:Fallback>
    </mc:AlternateContent>
    <mc:AlternateContent xmlns:mc="http://schemas.openxmlformats.org/markup-compatibility/2006">
      <mc:Choice Requires="x14">
        <control shapeId="16385" r:id="rId6" name="ReNumberingButton">
          <controlPr defaultSize="0" autoLine="0" r:id="rId7">
            <anchor moveWithCells="1">
              <from>
                <xdr:col>23</xdr:col>
                <xdr:colOff>142875</xdr:colOff>
                <xdr:row>2</xdr:row>
                <xdr:rowOff>57150</xdr:rowOff>
              </from>
              <to>
                <xdr:col>27</xdr:col>
                <xdr:colOff>190500</xdr:colOff>
                <xdr:row>5</xdr:row>
                <xdr:rowOff>228600</xdr:rowOff>
              </to>
            </anchor>
          </controlPr>
        </control>
      </mc:Choice>
      <mc:Fallback>
        <control shapeId="16385" r:id="rId6" name="ReNumberingButto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F2DDC-FB3A-49D7-A1EB-9E6D968C1256}">
  <sheetPr codeName="Sheet7"/>
  <dimension ref="A1:K100"/>
  <sheetViews>
    <sheetView workbookViewId="0">
      <selection activeCell="B42" sqref="B42"/>
    </sheetView>
  </sheetViews>
  <sheetFormatPr defaultRowHeight="18.75"/>
  <cols>
    <col min="2" max="2" width="27.25" customWidth="1"/>
    <col min="5" max="5" width="8.25" customWidth="1"/>
  </cols>
  <sheetData>
    <row r="1" spans="1:11">
      <c r="A1" t="s">
        <v>47</v>
      </c>
    </row>
    <row r="2" spans="1:11">
      <c r="B2" s="38" t="s">
        <v>50</v>
      </c>
      <c r="C2" s="39" t="s">
        <v>51</v>
      </c>
      <c r="D2" s="38">
        <v>1</v>
      </c>
      <c r="E2" s="38">
        <v>10</v>
      </c>
      <c r="F2" s="38">
        <v>20</v>
      </c>
      <c r="G2" s="38">
        <v>30</v>
      </c>
      <c r="H2" s="38">
        <v>40</v>
      </c>
      <c r="I2" s="38">
        <v>90</v>
      </c>
      <c r="J2" s="38"/>
      <c r="K2" s="38"/>
    </row>
    <row r="3" spans="1:11">
      <c r="B3" t="s">
        <v>485</v>
      </c>
      <c r="C3" s="37">
        <v>1</v>
      </c>
      <c r="H3">
        <v>1</v>
      </c>
    </row>
    <row r="4" spans="1:11">
      <c r="B4" t="s">
        <v>495</v>
      </c>
      <c r="C4" s="37">
        <v>1</v>
      </c>
      <c r="F4">
        <v>1</v>
      </c>
    </row>
    <row r="5" spans="1:11">
      <c r="B5" t="s">
        <v>459</v>
      </c>
      <c r="C5" s="37">
        <v>1</v>
      </c>
      <c r="F5">
        <v>1</v>
      </c>
      <c r="H5">
        <v>1</v>
      </c>
    </row>
    <row r="6" spans="1:11">
      <c r="B6" t="s">
        <v>499</v>
      </c>
      <c r="C6" s="37">
        <v>1</v>
      </c>
      <c r="E6">
        <v>1</v>
      </c>
    </row>
    <row r="7" spans="1:11">
      <c r="B7" t="s">
        <v>427</v>
      </c>
      <c r="C7" s="37">
        <v>0</v>
      </c>
      <c r="H7">
        <v>1</v>
      </c>
    </row>
    <row r="8" spans="1:11">
      <c r="B8" t="s">
        <v>420</v>
      </c>
      <c r="C8" s="37">
        <v>0</v>
      </c>
      <c r="D8">
        <v>1</v>
      </c>
      <c r="E8">
        <v>1</v>
      </c>
      <c r="I8">
        <v>1</v>
      </c>
    </row>
    <row r="9" spans="1:11">
      <c r="B9" t="s">
        <v>424</v>
      </c>
      <c r="C9" s="37">
        <v>2</v>
      </c>
      <c r="D9">
        <v>1</v>
      </c>
    </row>
    <row r="10" spans="1:11">
      <c r="B10" t="s">
        <v>407</v>
      </c>
      <c r="C10" s="37">
        <v>0</v>
      </c>
      <c r="D10">
        <v>1</v>
      </c>
      <c r="E10">
        <v>1</v>
      </c>
      <c r="F10">
        <v>1</v>
      </c>
      <c r="G10">
        <v>1</v>
      </c>
      <c r="H10">
        <v>1</v>
      </c>
      <c r="I10">
        <v>1</v>
      </c>
    </row>
    <row r="11" spans="1:11">
      <c r="B11" t="s">
        <v>575</v>
      </c>
      <c r="C11" s="37">
        <v>3</v>
      </c>
      <c r="I11">
        <v>1</v>
      </c>
    </row>
    <row r="12" spans="1:11">
      <c r="B12" t="s">
        <v>449</v>
      </c>
      <c r="C12" s="37">
        <v>0</v>
      </c>
      <c r="I12">
        <v>1</v>
      </c>
    </row>
    <row r="13" spans="1:11">
      <c r="B13" t="s">
        <v>565</v>
      </c>
      <c r="C13" s="37">
        <v>3</v>
      </c>
      <c r="F13">
        <v>1</v>
      </c>
    </row>
    <row r="14" spans="1:11">
      <c r="B14" t="s">
        <v>543</v>
      </c>
      <c r="C14" s="37">
        <v>0</v>
      </c>
      <c r="D14">
        <v>1</v>
      </c>
    </row>
    <row r="15" spans="1:11">
      <c r="B15" t="s">
        <v>547</v>
      </c>
      <c r="C15" s="37">
        <v>1</v>
      </c>
      <c r="G15">
        <v>1</v>
      </c>
    </row>
    <row r="16" spans="1:11">
      <c r="B16" t="s">
        <v>457</v>
      </c>
      <c r="C16" s="37">
        <v>3</v>
      </c>
      <c r="F16">
        <v>1</v>
      </c>
    </row>
    <row r="17" spans="2:9">
      <c r="B17" t="s">
        <v>473</v>
      </c>
      <c r="C17" s="37">
        <v>0</v>
      </c>
      <c r="H17">
        <v>1</v>
      </c>
    </row>
    <row r="18" spans="2:9">
      <c r="B18" t="s">
        <v>515</v>
      </c>
      <c r="C18" s="37">
        <v>3</v>
      </c>
      <c r="F18">
        <v>1</v>
      </c>
    </row>
    <row r="19" spans="2:9">
      <c r="B19" t="s">
        <v>553</v>
      </c>
      <c r="C19" s="37">
        <v>3</v>
      </c>
      <c r="G19">
        <v>1</v>
      </c>
    </row>
    <row r="20" spans="2:9">
      <c r="B20" t="s">
        <v>441</v>
      </c>
      <c r="C20" s="37">
        <v>0</v>
      </c>
      <c r="F20">
        <v>1</v>
      </c>
    </row>
    <row r="21" spans="2:9">
      <c r="B21" t="s">
        <v>433</v>
      </c>
      <c r="C21" s="37">
        <v>0</v>
      </c>
      <c r="F21">
        <v>1</v>
      </c>
    </row>
    <row r="22" spans="2:9">
      <c r="B22" t="s">
        <v>513</v>
      </c>
      <c r="C22" s="37">
        <v>1</v>
      </c>
      <c r="F22">
        <v>1</v>
      </c>
    </row>
    <row r="23" spans="2:9">
      <c r="B23" t="s">
        <v>531</v>
      </c>
      <c r="C23" s="37">
        <v>0</v>
      </c>
      <c r="G23">
        <v>1</v>
      </c>
    </row>
    <row r="24" spans="2:9">
      <c r="B24" t="s">
        <v>567</v>
      </c>
      <c r="C24" s="37">
        <v>4</v>
      </c>
      <c r="F24">
        <v>1</v>
      </c>
    </row>
    <row r="25" spans="2:9">
      <c r="B25" t="s">
        <v>569</v>
      </c>
      <c r="C25" s="37">
        <v>4</v>
      </c>
      <c r="F25">
        <v>1</v>
      </c>
    </row>
    <row r="26" spans="2:9">
      <c r="B26" t="s">
        <v>463</v>
      </c>
      <c r="C26" s="37">
        <v>3</v>
      </c>
      <c r="F26">
        <v>1</v>
      </c>
    </row>
    <row r="27" spans="2:9">
      <c r="B27" t="s">
        <v>467</v>
      </c>
      <c r="C27" s="37">
        <v>0</v>
      </c>
      <c r="F27">
        <v>1</v>
      </c>
    </row>
    <row r="28" spans="2:9">
      <c r="B28" t="s">
        <v>445</v>
      </c>
      <c r="C28" s="37">
        <v>0</v>
      </c>
      <c r="I28">
        <v>1</v>
      </c>
    </row>
    <row r="29" spans="2:9">
      <c r="B29" t="s">
        <v>483</v>
      </c>
      <c r="C29" s="37">
        <v>4</v>
      </c>
      <c r="E29">
        <v>1</v>
      </c>
    </row>
    <row r="30" spans="2:9">
      <c r="B30" t="s">
        <v>509</v>
      </c>
      <c r="C30" s="37">
        <v>4</v>
      </c>
      <c r="I30">
        <v>1</v>
      </c>
    </row>
    <row r="31" spans="2:9">
      <c r="B31" t="s">
        <v>559</v>
      </c>
      <c r="C31" s="37">
        <v>4</v>
      </c>
      <c r="D31">
        <v>1</v>
      </c>
    </row>
    <row r="32" spans="2:9">
      <c r="B32" t="s">
        <v>479</v>
      </c>
      <c r="C32" s="37">
        <v>4</v>
      </c>
      <c r="E32">
        <v>1</v>
      </c>
    </row>
    <row r="33" spans="2:9">
      <c r="B33" t="s">
        <v>505</v>
      </c>
      <c r="C33" s="37">
        <v>4</v>
      </c>
      <c r="I33">
        <v>1</v>
      </c>
    </row>
    <row r="34" spans="2:9">
      <c r="B34" t="s">
        <v>521</v>
      </c>
      <c r="C34" s="37">
        <v>4</v>
      </c>
      <c r="G34">
        <v>1</v>
      </c>
    </row>
    <row r="35" spans="2:9">
      <c r="B35" t="s">
        <v>491</v>
      </c>
      <c r="C35" s="37">
        <v>4</v>
      </c>
      <c r="F35">
        <v>1</v>
      </c>
    </row>
    <row r="36" spans="2:9">
      <c r="B36" t="s">
        <v>523</v>
      </c>
      <c r="C36" s="37">
        <v>1</v>
      </c>
      <c r="F36">
        <v>1</v>
      </c>
    </row>
    <row r="37" spans="2:9">
      <c r="B37" t="s">
        <v>533</v>
      </c>
      <c r="C37" s="37">
        <v>0</v>
      </c>
      <c r="G37">
        <v>1</v>
      </c>
    </row>
    <row r="38" spans="2:9">
      <c r="B38" t="s">
        <v>561</v>
      </c>
      <c r="C38" s="37">
        <v>3</v>
      </c>
      <c r="E38">
        <v>1</v>
      </c>
      <c r="I38">
        <v>1</v>
      </c>
    </row>
    <row r="39" spans="2:9">
      <c r="B39" t="s">
        <v>497</v>
      </c>
      <c r="C39" s="37">
        <v>0</v>
      </c>
      <c r="D39">
        <v>1</v>
      </c>
      <c r="E39">
        <v>1</v>
      </c>
      <c r="F39">
        <v>1</v>
      </c>
    </row>
    <row r="40" spans="2:9">
      <c r="C40" s="37"/>
    </row>
    <row r="41" spans="2:9">
      <c r="C41" s="37"/>
    </row>
    <row r="42" spans="2:9">
      <c r="C42" s="37"/>
    </row>
    <row r="43" spans="2:9">
      <c r="C43" s="37"/>
    </row>
    <row r="44" spans="2:9">
      <c r="C44" s="37"/>
    </row>
    <row r="45" spans="2:9">
      <c r="C45" s="37"/>
    </row>
    <row r="46" spans="2:9">
      <c r="C46" s="37"/>
    </row>
    <row r="47" spans="2:9">
      <c r="C47" s="37"/>
    </row>
    <row r="48" spans="2:9">
      <c r="C48" s="37"/>
    </row>
    <row r="49" spans="3:3">
      <c r="C49" s="37"/>
    </row>
    <row r="50" spans="3:3">
      <c r="C50" s="37"/>
    </row>
    <row r="51" spans="3:3">
      <c r="C51" s="37"/>
    </row>
    <row r="52" spans="3:3">
      <c r="C52" s="37"/>
    </row>
    <row r="53" spans="3:3">
      <c r="C53" s="37"/>
    </row>
    <row r="54" spans="3:3">
      <c r="C54" s="37"/>
    </row>
    <row r="55" spans="3:3">
      <c r="C55" s="37"/>
    </row>
    <row r="56" spans="3:3">
      <c r="C56" s="37"/>
    </row>
    <row r="57" spans="3:3">
      <c r="C57" s="37"/>
    </row>
    <row r="58" spans="3:3">
      <c r="C58" s="37"/>
    </row>
    <row r="59" spans="3:3">
      <c r="C59" s="37"/>
    </row>
    <row r="60" spans="3:3">
      <c r="C60" s="37"/>
    </row>
    <row r="61" spans="3:3">
      <c r="C61" s="37"/>
    </row>
    <row r="62" spans="3:3">
      <c r="C62" s="37"/>
    </row>
    <row r="63" spans="3:3">
      <c r="C63" s="37"/>
    </row>
    <row r="64" spans="3:3">
      <c r="C64" s="37"/>
    </row>
    <row r="65" spans="3:3">
      <c r="C65" s="37"/>
    </row>
    <row r="66" spans="3:3">
      <c r="C66" s="37"/>
    </row>
    <row r="67" spans="3:3">
      <c r="C67" s="37"/>
    </row>
    <row r="68" spans="3:3">
      <c r="C68" s="37"/>
    </row>
    <row r="69" spans="3:3">
      <c r="C69" s="37"/>
    </row>
    <row r="70" spans="3:3">
      <c r="C70" s="37"/>
    </row>
    <row r="71" spans="3:3">
      <c r="C71" s="37"/>
    </row>
    <row r="72" spans="3:3">
      <c r="C72" s="37"/>
    </row>
    <row r="73" spans="3:3">
      <c r="C73" s="37"/>
    </row>
    <row r="74" spans="3:3">
      <c r="C74" s="37"/>
    </row>
    <row r="75" spans="3:3">
      <c r="C75" s="37"/>
    </row>
    <row r="76" spans="3:3">
      <c r="C76" s="37"/>
    </row>
    <row r="77" spans="3:3">
      <c r="C77" s="37"/>
    </row>
    <row r="78" spans="3:3">
      <c r="C78" s="37"/>
    </row>
    <row r="79" spans="3:3">
      <c r="C79" s="37"/>
    </row>
    <row r="80" spans="3:3">
      <c r="C80" s="37"/>
    </row>
    <row r="81" spans="3:3">
      <c r="C81" s="37"/>
    </row>
    <row r="82" spans="3:3">
      <c r="C82" s="37"/>
    </row>
    <row r="83" spans="3:3">
      <c r="C83" s="37"/>
    </row>
    <row r="84" spans="3:3">
      <c r="C84" s="37"/>
    </row>
    <row r="85" spans="3:3">
      <c r="C85" s="37"/>
    </row>
    <row r="86" spans="3:3">
      <c r="C86" s="37"/>
    </row>
    <row r="87" spans="3:3">
      <c r="C87" s="37"/>
    </row>
    <row r="88" spans="3:3">
      <c r="C88" s="37"/>
    </row>
    <row r="89" spans="3:3">
      <c r="C89" s="37"/>
    </row>
    <row r="90" spans="3:3">
      <c r="C90" s="37"/>
    </row>
    <row r="91" spans="3:3">
      <c r="C91" s="37"/>
    </row>
    <row r="92" spans="3:3">
      <c r="C92" s="37"/>
    </row>
    <row r="93" spans="3:3">
      <c r="C93" s="37"/>
    </row>
    <row r="94" spans="3:3">
      <c r="C94" s="37"/>
    </row>
    <row r="95" spans="3:3">
      <c r="C95" s="37"/>
    </row>
    <row r="96" spans="3:3">
      <c r="C96" s="37"/>
    </row>
    <row r="97" spans="3:3">
      <c r="C97" s="37"/>
    </row>
    <row r="98" spans="3:3">
      <c r="C98" s="37"/>
    </row>
    <row r="99" spans="3:3">
      <c r="C99" s="37"/>
    </row>
    <row r="100" spans="3:3">
      <c r="C100" s="37"/>
    </row>
  </sheetData>
  <sortState xmlns:xlrd2="http://schemas.microsoft.com/office/spreadsheetml/2017/richdata2" ref="T12:U26">
    <sortCondition ref="U12:U26"/>
    <sortCondition ref="T12:T26"/>
  </sortState>
  <dataConsolidate/>
  <phoneticPr fontId="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05B31-BF98-49EC-B6C0-A9A701D195E8}">
  <sheetPr codeName="Sheet8"/>
  <dimension ref="A1:S34"/>
  <sheetViews>
    <sheetView workbookViewId="0">
      <selection activeCell="I11" sqref="I11"/>
    </sheetView>
  </sheetViews>
  <sheetFormatPr defaultRowHeight="18.75"/>
  <cols>
    <col min="2" max="2" width="20.625" customWidth="1"/>
    <col min="3" max="3" width="7.625" customWidth="1"/>
    <col min="9" max="9" width="21.125" customWidth="1"/>
    <col min="10" max="10" width="7.625" customWidth="1"/>
    <col min="12" max="12" width="21.875" customWidth="1"/>
  </cols>
  <sheetData>
    <row r="1" spans="1:19">
      <c r="A1" t="s">
        <v>48</v>
      </c>
    </row>
    <row r="3" spans="1:19">
      <c r="B3" s="40" t="s">
        <v>52</v>
      </c>
      <c r="L3" s="40" t="s">
        <v>20</v>
      </c>
    </row>
    <row r="4" spans="1:19">
      <c r="B4" s="38" t="s">
        <v>50</v>
      </c>
      <c r="C4" s="39" t="s">
        <v>51</v>
      </c>
      <c r="D4" s="38">
        <v>1</v>
      </c>
      <c r="E4" s="38">
        <v>10</v>
      </c>
      <c r="F4" s="38">
        <v>20</v>
      </c>
      <c r="G4" s="38">
        <v>30</v>
      </c>
      <c r="H4" s="38">
        <v>40</v>
      </c>
      <c r="I4" s="38">
        <v>90</v>
      </c>
      <c r="L4" s="38" t="s">
        <v>50</v>
      </c>
      <c r="M4" s="39" t="s">
        <v>51</v>
      </c>
      <c r="N4" s="38">
        <v>1</v>
      </c>
      <c r="O4" s="38">
        <v>10</v>
      </c>
      <c r="P4" s="38">
        <v>20</v>
      </c>
      <c r="Q4" s="38">
        <v>30</v>
      </c>
      <c r="R4" s="38">
        <v>40</v>
      </c>
      <c r="S4" s="38">
        <v>90</v>
      </c>
    </row>
    <row r="5" spans="1:19">
      <c r="B5" t="s">
        <v>427</v>
      </c>
      <c r="C5" s="37">
        <v>0</v>
      </c>
      <c r="H5">
        <v>1</v>
      </c>
      <c r="L5" t="s">
        <v>485</v>
      </c>
      <c r="M5" s="37">
        <v>1</v>
      </c>
      <c r="R5">
        <v>1</v>
      </c>
    </row>
    <row r="6" spans="1:19">
      <c r="B6" t="s">
        <v>420</v>
      </c>
      <c r="C6" s="37">
        <v>0</v>
      </c>
      <c r="D6">
        <v>1</v>
      </c>
      <c r="E6">
        <v>1</v>
      </c>
      <c r="I6">
        <v>1</v>
      </c>
      <c r="L6" t="s">
        <v>495</v>
      </c>
      <c r="M6" s="37">
        <v>1</v>
      </c>
      <c r="P6">
        <v>1</v>
      </c>
    </row>
    <row r="7" spans="1:19">
      <c r="B7" t="s">
        <v>408</v>
      </c>
      <c r="C7" s="37">
        <v>0</v>
      </c>
      <c r="D7">
        <v>1</v>
      </c>
      <c r="E7">
        <v>1</v>
      </c>
      <c r="F7">
        <v>1</v>
      </c>
      <c r="G7">
        <v>1</v>
      </c>
      <c r="H7">
        <v>1</v>
      </c>
      <c r="I7">
        <v>1</v>
      </c>
      <c r="L7" t="s">
        <v>459</v>
      </c>
      <c r="M7" s="37">
        <v>1</v>
      </c>
      <c r="P7">
        <v>1</v>
      </c>
      <c r="R7">
        <v>1</v>
      </c>
    </row>
    <row r="8" spans="1:19">
      <c r="B8" t="s">
        <v>449</v>
      </c>
      <c r="C8" s="37">
        <v>0</v>
      </c>
      <c r="I8">
        <v>1</v>
      </c>
      <c r="L8" t="s">
        <v>499</v>
      </c>
      <c r="M8" s="37">
        <v>1</v>
      </c>
      <c r="O8">
        <v>1</v>
      </c>
    </row>
    <row r="9" spans="1:19">
      <c r="B9" t="s">
        <v>544</v>
      </c>
      <c r="C9" s="37">
        <v>0</v>
      </c>
      <c r="D9">
        <v>1</v>
      </c>
      <c r="L9" t="s">
        <v>548</v>
      </c>
      <c r="M9" s="37">
        <v>1</v>
      </c>
      <c r="Q9">
        <v>1</v>
      </c>
    </row>
    <row r="10" spans="1:19">
      <c r="B10" t="s">
        <v>473</v>
      </c>
      <c r="C10" s="37">
        <v>0</v>
      </c>
      <c r="H10">
        <v>1</v>
      </c>
      <c r="L10" t="s">
        <v>514</v>
      </c>
      <c r="M10" s="37">
        <v>1</v>
      </c>
      <c r="P10">
        <v>1</v>
      </c>
    </row>
    <row r="11" spans="1:19">
      <c r="B11" t="s">
        <v>441</v>
      </c>
      <c r="C11" s="37">
        <v>0</v>
      </c>
      <c r="F11">
        <v>1</v>
      </c>
      <c r="L11" t="s">
        <v>524</v>
      </c>
      <c r="M11" s="37">
        <v>1</v>
      </c>
      <c r="P11">
        <v>1</v>
      </c>
    </row>
    <row r="12" spans="1:19">
      <c r="B12" t="s">
        <v>433</v>
      </c>
      <c r="C12" s="37">
        <v>0</v>
      </c>
      <c r="F12">
        <v>1</v>
      </c>
      <c r="M12" s="37"/>
    </row>
    <row r="13" spans="1:19">
      <c r="B13" t="s">
        <v>532</v>
      </c>
      <c r="C13" s="37">
        <v>0</v>
      </c>
      <c r="G13">
        <v>1</v>
      </c>
      <c r="L13" s="40" t="s">
        <v>53</v>
      </c>
      <c r="M13" s="37"/>
    </row>
    <row r="14" spans="1:19">
      <c r="B14" t="s">
        <v>467</v>
      </c>
      <c r="C14" s="37">
        <v>0</v>
      </c>
      <c r="F14">
        <v>1</v>
      </c>
      <c r="L14" s="38" t="s">
        <v>50</v>
      </c>
      <c r="M14" s="39" t="s">
        <v>51</v>
      </c>
      <c r="N14" s="38">
        <v>1</v>
      </c>
      <c r="O14" s="38">
        <v>10</v>
      </c>
      <c r="P14" s="38">
        <v>20</v>
      </c>
      <c r="Q14" s="38">
        <v>30</v>
      </c>
      <c r="R14" s="38">
        <v>40</v>
      </c>
      <c r="S14" s="38">
        <v>90</v>
      </c>
    </row>
    <row r="15" spans="1:19">
      <c r="B15" t="s">
        <v>445</v>
      </c>
      <c r="C15" s="37">
        <v>0</v>
      </c>
      <c r="I15">
        <v>1</v>
      </c>
      <c r="L15" t="s">
        <v>424</v>
      </c>
      <c r="M15" s="37">
        <v>2</v>
      </c>
      <c r="N15">
        <v>1</v>
      </c>
    </row>
    <row r="16" spans="1:19">
      <c r="B16" t="s">
        <v>534</v>
      </c>
      <c r="C16" s="37">
        <v>0</v>
      </c>
      <c r="G16">
        <v>1</v>
      </c>
      <c r="M16" s="37"/>
    </row>
    <row r="17" spans="2:19">
      <c r="B17" t="s">
        <v>497</v>
      </c>
      <c r="C17" s="37">
        <v>0</v>
      </c>
      <c r="D17">
        <v>1</v>
      </c>
      <c r="E17">
        <v>1</v>
      </c>
      <c r="F17">
        <v>1</v>
      </c>
      <c r="M17" s="37"/>
    </row>
    <row r="18" spans="2:19">
      <c r="M18" s="37"/>
    </row>
    <row r="19" spans="2:19">
      <c r="M19" s="37"/>
    </row>
    <row r="20" spans="2:19">
      <c r="M20" s="37"/>
    </row>
    <row r="21" spans="2:19">
      <c r="M21" s="37"/>
    </row>
    <row r="24" spans="2:19">
      <c r="B24" s="40" t="s">
        <v>23</v>
      </c>
      <c r="L24" s="40" t="s">
        <v>25</v>
      </c>
    </row>
    <row r="25" spans="2:19">
      <c r="B25" s="38" t="s">
        <v>50</v>
      </c>
      <c r="C25" s="39" t="s">
        <v>51</v>
      </c>
      <c r="D25" s="38">
        <v>1</v>
      </c>
      <c r="E25" s="38">
        <v>10</v>
      </c>
      <c r="F25" s="38">
        <v>20</v>
      </c>
      <c r="G25" s="38">
        <v>30</v>
      </c>
      <c r="H25" s="38">
        <v>40</v>
      </c>
      <c r="I25" s="38">
        <v>90</v>
      </c>
      <c r="L25" s="38" t="s">
        <v>50</v>
      </c>
      <c r="M25" s="39" t="s">
        <v>51</v>
      </c>
      <c r="N25" s="38">
        <v>1</v>
      </c>
      <c r="O25" s="38">
        <v>10</v>
      </c>
      <c r="P25" s="38">
        <v>20</v>
      </c>
      <c r="Q25" s="38">
        <v>30</v>
      </c>
      <c r="R25" s="38">
        <v>40</v>
      </c>
      <c r="S25" s="38">
        <v>90</v>
      </c>
    </row>
    <row r="26" spans="2:19">
      <c r="B26" t="s">
        <v>575</v>
      </c>
      <c r="C26" s="37">
        <v>3</v>
      </c>
      <c r="I26">
        <v>1</v>
      </c>
      <c r="L26" t="s">
        <v>567</v>
      </c>
      <c r="M26" s="37">
        <v>4</v>
      </c>
      <c r="P26">
        <v>1</v>
      </c>
    </row>
    <row r="27" spans="2:19">
      <c r="B27" t="s">
        <v>565</v>
      </c>
      <c r="C27" s="37">
        <v>3</v>
      </c>
      <c r="F27">
        <v>1</v>
      </c>
      <c r="L27" t="s">
        <v>569</v>
      </c>
      <c r="M27" s="37">
        <v>4</v>
      </c>
      <c r="P27">
        <v>1</v>
      </c>
    </row>
    <row r="28" spans="2:19">
      <c r="B28" t="s">
        <v>457</v>
      </c>
      <c r="C28" s="37">
        <v>3</v>
      </c>
      <c r="F28">
        <v>1</v>
      </c>
      <c r="L28" t="s">
        <v>484</v>
      </c>
      <c r="M28" s="37">
        <v>4</v>
      </c>
      <c r="O28">
        <v>1</v>
      </c>
    </row>
    <row r="29" spans="2:19">
      <c r="B29" t="s">
        <v>515</v>
      </c>
      <c r="C29" s="37">
        <v>3</v>
      </c>
      <c r="F29">
        <v>1</v>
      </c>
      <c r="L29" t="s">
        <v>509</v>
      </c>
      <c r="M29" s="37">
        <v>4</v>
      </c>
      <c r="S29">
        <v>1</v>
      </c>
    </row>
    <row r="30" spans="2:19">
      <c r="B30" t="s">
        <v>553</v>
      </c>
      <c r="C30" s="37">
        <v>3</v>
      </c>
      <c r="G30">
        <v>1</v>
      </c>
      <c r="L30" t="s">
        <v>560</v>
      </c>
      <c r="M30" s="37">
        <v>4</v>
      </c>
      <c r="N30">
        <v>1</v>
      </c>
    </row>
    <row r="31" spans="2:19">
      <c r="B31" t="s">
        <v>463</v>
      </c>
      <c r="C31" s="37">
        <v>3</v>
      </c>
      <c r="F31">
        <v>1</v>
      </c>
      <c r="L31" t="s">
        <v>480</v>
      </c>
      <c r="M31" s="37">
        <v>4</v>
      </c>
      <c r="O31">
        <v>1</v>
      </c>
    </row>
    <row r="32" spans="2:19">
      <c r="B32" t="s">
        <v>561</v>
      </c>
      <c r="C32" s="37">
        <v>3</v>
      </c>
      <c r="E32">
        <v>1</v>
      </c>
      <c r="I32">
        <v>1</v>
      </c>
      <c r="L32" t="s">
        <v>505</v>
      </c>
      <c r="M32" s="37">
        <v>4</v>
      </c>
      <c r="S32">
        <v>1</v>
      </c>
    </row>
    <row r="33" spans="12:17">
      <c r="L33" t="s">
        <v>521</v>
      </c>
      <c r="M33" s="37">
        <v>4</v>
      </c>
      <c r="Q33">
        <v>1</v>
      </c>
    </row>
    <row r="34" spans="12:17">
      <c r="L34" t="s">
        <v>491</v>
      </c>
      <c r="M34" s="37">
        <v>4</v>
      </c>
      <c r="P34">
        <v>1</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6036A-1434-4197-B606-B54007586DD2}">
  <sheetPr codeName="Sheet9"/>
  <dimension ref="A1:AH14"/>
  <sheetViews>
    <sheetView workbookViewId="0"/>
  </sheetViews>
  <sheetFormatPr defaultRowHeight="18.75"/>
  <cols>
    <col min="2" max="2" width="13.875" bestFit="1" customWidth="1"/>
    <col min="3" max="3" width="16.375" bestFit="1" customWidth="1"/>
    <col min="7" max="7" width="12.875" bestFit="1" customWidth="1"/>
    <col min="8" max="8" width="15.375" bestFit="1" customWidth="1"/>
    <col min="12" max="12" width="15.5" bestFit="1" customWidth="1"/>
    <col min="13" max="13" width="15.375" bestFit="1" customWidth="1"/>
  </cols>
  <sheetData>
    <row r="1" spans="1:34">
      <c r="A1" t="s">
        <v>49</v>
      </c>
    </row>
    <row r="3" spans="1:34">
      <c r="B3" t="s">
        <v>409</v>
      </c>
      <c r="G3" t="s">
        <v>410</v>
      </c>
      <c r="L3" t="s">
        <v>412</v>
      </c>
      <c r="Q3" t="s">
        <v>414</v>
      </c>
      <c r="V3" t="s">
        <v>416</v>
      </c>
      <c r="AA3" t="s">
        <v>418</v>
      </c>
    </row>
    <row r="4" spans="1:34">
      <c r="A4" s="41" t="s">
        <v>52</v>
      </c>
      <c r="B4" s="42" t="s">
        <v>420</v>
      </c>
      <c r="C4" s="41"/>
      <c r="D4" s="41" t="s">
        <v>20</v>
      </c>
      <c r="F4" s="41" t="s">
        <v>52</v>
      </c>
      <c r="G4" s="42" t="s">
        <v>420</v>
      </c>
      <c r="H4" s="41" t="s">
        <v>499</v>
      </c>
      <c r="I4" s="41" t="s">
        <v>20</v>
      </c>
      <c r="K4" s="41" t="s">
        <v>52</v>
      </c>
      <c r="L4" s="42" t="s">
        <v>407</v>
      </c>
      <c r="M4" s="41" t="s">
        <v>495</v>
      </c>
      <c r="N4" s="41" t="s">
        <v>20</v>
      </c>
      <c r="P4" s="41" t="s">
        <v>52</v>
      </c>
      <c r="Q4" s="42" t="s">
        <v>407</v>
      </c>
      <c r="R4" s="41" t="s">
        <v>547</v>
      </c>
      <c r="S4" s="41" t="s">
        <v>20</v>
      </c>
      <c r="U4" s="41" t="s">
        <v>52</v>
      </c>
      <c r="V4" s="42" t="s">
        <v>427</v>
      </c>
      <c r="W4" s="41" t="s">
        <v>485</v>
      </c>
      <c r="X4" s="41" t="s">
        <v>20</v>
      </c>
      <c r="Z4" s="41" t="s">
        <v>52</v>
      </c>
      <c r="AA4" s="42" t="s">
        <v>420</v>
      </c>
      <c r="AB4" s="41"/>
      <c r="AC4" s="41" t="s">
        <v>20</v>
      </c>
      <c r="AE4" s="41" t="s">
        <v>52</v>
      </c>
      <c r="AF4" s="42"/>
      <c r="AG4" s="41"/>
      <c r="AH4" s="41" t="s">
        <v>20</v>
      </c>
    </row>
    <row r="5" spans="1:34">
      <c r="B5" s="37" t="s">
        <v>407</v>
      </c>
      <c r="C5" t="s">
        <v>424</v>
      </c>
      <c r="D5" t="s">
        <v>53</v>
      </c>
      <c r="G5" s="37" t="s">
        <v>407</v>
      </c>
      <c r="L5" s="37" t="s">
        <v>441</v>
      </c>
      <c r="M5" t="s">
        <v>459</v>
      </c>
      <c r="Q5" s="37" t="s">
        <v>531</v>
      </c>
      <c r="V5" s="37" t="s">
        <v>407</v>
      </c>
      <c r="W5" t="s">
        <v>459</v>
      </c>
      <c r="AA5" s="37" t="s">
        <v>407</v>
      </c>
      <c r="AC5" t="s">
        <v>53</v>
      </c>
      <c r="AF5" s="37"/>
      <c r="AH5" t="s">
        <v>53</v>
      </c>
    </row>
    <row r="6" spans="1:34">
      <c r="B6" s="37" t="s">
        <v>543</v>
      </c>
      <c r="G6" s="37" t="s">
        <v>497</v>
      </c>
      <c r="I6" t="s">
        <v>53</v>
      </c>
      <c r="L6" s="37" t="s">
        <v>433</v>
      </c>
      <c r="M6" t="s">
        <v>513</v>
      </c>
      <c r="Q6" s="37" t="s">
        <v>533</v>
      </c>
      <c r="S6" t="s">
        <v>53</v>
      </c>
      <c r="V6" s="37" t="s">
        <v>473</v>
      </c>
      <c r="AA6" s="37" t="s">
        <v>449</v>
      </c>
      <c r="AE6" t="s">
        <v>23</v>
      </c>
      <c r="AF6" s="37"/>
      <c r="AH6" t="s">
        <v>25</v>
      </c>
    </row>
    <row r="7" spans="1:34">
      <c r="B7" s="37" t="s">
        <v>497</v>
      </c>
      <c r="F7" t="s">
        <v>23</v>
      </c>
      <c r="G7" s="37" t="s">
        <v>561</v>
      </c>
      <c r="H7" t="s">
        <v>483</v>
      </c>
      <c r="I7" t="s">
        <v>25</v>
      </c>
      <c r="L7" s="37" t="s">
        <v>467</v>
      </c>
      <c r="M7" t="s">
        <v>523</v>
      </c>
      <c r="P7" t="s">
        <v>23</v>
      </c>
      <c r="Q7" s="37" t="s">
        <v>553</v>
      </c>
      <c r="R7" t="s">
        <v>521</v>
      </c>
      <c r="S7" t="s">
        <v>25</v>
      </c>
      <c r="V7" s="37"/>
      <c r="X7" t="s">
        <v>53</v>
      </c>
      <c r="AA7" s="37" t="s">
        <v>445</v>
      </c>
    </row>
    <row r="8" spans="1:34">
      <c r="A8" t="s">
        <v>23</v>
      </c>
      <c r="B8" s="37"/>
      <c r="C8" t="s">
        <v>559</v>
      </c>
      <c r="D8" t="s">
        <v>25</v>
      </c>
      <c r="G8" s="37"/>
      <c r="H8" t="s">
        <v>479</v>
      </c>
      <c r="L8" s="37" t="s">
        <v>497</v>
      </c>
      <c r="Q8" s="37"/>
      <c r="U8" t="s">
        <v>23</v>
      </c>
      <c r="V8" s="37"/>
      <c r="X8" t="s">
        <v>25</v>
      </c>
      <c r="Z8" t="s">
        <v>23</v>
      </c>
      <c r="AA8" s="37" t="s">
        <v>575</v>
      </c>
      <c r="AB8" t="s">
        <v>509</v>
      </c>
      <c r="AC8" t="s">
        <v>25</v>
      </c>
    </row>
    <row r="9" spans="1:34">
      <c r="B9" s="37"/>
      <c r="G9" s="37"/>
      <c r="L9" s="37"/>
      <c r="N9" t="s">
        <v>53</v>
      </c>
      <c r="AA9" s="37" t="s">
        <v>561</v>
      </c>
      <c r="AB9" t="s">
        <v>505</v>
      </c>
    </row>
    <row r="10" spans="1:34">
      <c r="K10" t="s">
        <v>23</v>
      </c>
      <c r="L10" s="37" t="s">
        <v>565</v>
      </c>
      <c r="M10" t="s">
        <v>567</v>
      </c>
      <c r="N10" t="s">
        <v>25</v>
      </c>
      <c r="AA10" s="37"/>
    </row>
    <row r="11" spans="1:34">
      <c r="L11" s="37" t="s">
        <v>457</v>
      </c>
      <c r="M11" t="s">
        <v>569</v>
      </c>
    </row>
    <row r="12" spans="1:34">
      <c r="L12" s="37" t="s">
        <v>515</v>
      </c>
      <c r="M12" t="s">
        <v>491</v>
      </c>
    </row>
    <row r="13" spans="1:34">
      <c r="L13" s="37" t="s">
        <v>463</v>
      </c>
    </row>
    <row r="14" spans="1:34">
      <c r="L14" s="37"/>
    </row>
  </sheetData>
  <phoneticPr fontId="1"/>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7AFD4-E094-46F5-ACF7-D5A8B552D34C}">
  <sheetPr codeName="Sheet12"/>
  <dimension ref="A1:H45"/>
  <sheetViews>
    <sheetView workbookViewId="0">
      <selection activeCell="N16" sqref="N15:N16"/>
    </sheetView>
  </sheetViews>
  <sheetFormatPr defaultRowHeight="18.75"/>
  <sheetData>
    <row r="1" spans="1:8">
      <c r="A1">
        <v>44</v>
      </c>
    </row>
    <row r="2" spans="1:8">
      <c r="A2">
        <v>101110</v>
      </c>
      <c r="B2">
        <v>0</v>
      </c>
      <c r="C2">
        <v>0</v>
      </c>
      <c r="D2" t="s">
        <v>407</v>
      </c>
      <c r="E2" t="s">
        <v>422</v>
      </c>
      <c r="F2" t="s">
        <v>424</v>
      </c>
      <c r="G2">
        <v>0</v>
      </c>
      <c r="H2">
        <v>2</v>
      </c>
    </row>
    <row r="3" spans="1:8">
      <c r="A3">
        <v>102110</v>
      </c>
      <c r="B3">
        <v>0</v>
      </c>
      <c r="C3">
        <v>0</v>
      </c>
      <c r="D3" t="s">
        <v>420</v>
      </c>
      <c r="E3" t="s">
        <v>437</v>
      </c>
      <c r="F3" t="s">
        <v>407</v>
      </c>
      <c r="G3">
        <v>0</v>
      </c>
      <c r="H3">
        <v>0</v>
      </c>
    </row>
    <row r="4" spans="1:8">
      <c r="A4">
        <v>103110</v>
      </c>
      <c r="B4">
        <v>0</v>
      </c>
      <c r="C4">
        <v>0</v>
      </c>
      <c r="D4" t="s">
        <v>407</v>
      </c>
      <c r="E4" t="s">
        <v>429</v>
      </c>
      <c r="F4" t="s">
        <v>420</v>
      </c>
      <c r="G4">
        <v>0</v>
      </c>
      <c r="H4">
        <v>0</v>
      </c>
    </row>
    <row r="5" spans="1:8">
      <c r="A5">
        <v>104110</v>
      </c>
      <c r="B5">
        <v>0</v>
      </c>
      <c r="C5">
        <v>0</v>
      </c>
      <c r="D5" t="s">
        <v>473</v>
      </c>
      <c r="E5" t="s">
        <v>435</v>
      </c>
      <c r="F5" t="s">
        <v>407</v>
      </c>
      <c r="G5">
        <v>0</v>
      </c>
      <c r="H5">
        <v>0</v>
      </c>
    </row>
    <row r="6" spans="1:8">
      <c r="A6">
        <v>105110</v>
      </c>
      <c r="B6">
        <v>0</v>
      </c>
      <c r="C6">
        <v>0</v>
      </c>
      <c r="D6" t="s">
        <v>427</v>
      </c>
      <c r="E6" t="s">
        <v>431</v>
      </c>
      <c r="F6" t="s">
        <v>407</v>
      </c>
      <c r="G6">
        <v>0</v>
      </c>
      <c r="H6">
        <v>0</v>
      </c>
    </row>
    <row r="7" spans="1:8">
      <c r="A7">
        <v>106110</v>
      </c>
      <c r="B7">
        <v>0</v>
      </c>
      <c r="C7">
        <v>0</v>
      </c>
      <c r="D7" t="s">
        <v>433</v>
      </c>
      <c r="E7" t="s">
        <v>439</v>
      </c>
      <c r="F7" t="s">
        <v>407</v>
      </c>
      <c r="G7">
        <v>0</v>
      </c>
      <c r="H7">
        <v>0</v>
      </c>
    </row>
    <row r="8" spans="1:8">
      <c r="A8">
        <v>107110</v>
      </c>
      <c r="B8">
        <v>0</v>
      </c>
      <c r="C8">
        <v>0</v>
      </c>
      <c r="D8" t="s">
        <v>441</v>
      </c>
      <c r="E8" t="s">
        <v>443</v>
      </c>
      <c r="F8" t="s">
        <v>407</v>
      </c>
      <c r="G8">
        <v>0</v>
      </c>
      <c r="H8">
        <v>0</v>
      </c>
    </row>
    <row r="9" spans="1:8">
      <c r="A9">
        <v>108110</v>
      </c>
      <c r="B9">
        <v>0</v>
      </c>
      <c r="C9">
        <v>0</v>
      </c>
      <c r="D9" t="s">
        <v>445</v>
      </c>
      <c r="E9" t="s">
        <v>447</v>
      </c>
      <c r="F9" t="s">
        <v>407</v>
      </c>
      <c r="G9">
        <v>0</v>
      </c>
      <c r="H9">
        <v>0</v>
      </c>
    </row>
    <row r="10" spans="1:8">
      <c r="A10">
        <v>109110</v>
      </c>
      <c r="B10">
        <v>0</v>
      </c>
      <c r="C10">
        <v>0</v>
      </c>
      <c r="D10" t="s">
        <v>449</v>
      </c>
      <c r="E10" t="s">
        <v>451</v>
      </c>
      <c r="F10" t="s">
        <v>407</v>
      </c>
      <c r="G10">
        <v>0</v>
      </c>
      <c r="H10">
        <v>0</v>
      </c>
    </row>
    <row r="11" spans="1:8">
      <c r="A11">
        <v>110110</v>
      </c>
      <c r="B11">
        <v>0</v>
      </c>
      <c r="C11">
        <v>0</v>
      </c>
      <c r="D11" t="s">
        <v>497</v>
      </c>
      <c r="E11" t="s">
        <v>453</v>
      </c>
      <c r="F11" t="s">
        <v>407</v>
      </c>
      <c r="G11">
        <v>0</v>
      </c>
      <c r="H11">
        <v>0</v>
      </c>
    </row>
    <row r="12" spans="1:8">
      <c r="A12">
        <v>111110</v>
      </c>
      <c r="B12">
        <v>0</v>
      </c>
      <c r="C12">
        <v>0</v>
      </c>
      <c r="D12" t="s">
        <v>420</v>
      </c>
      <c r="E12" t="s">
        <v>455</v>
      </c>
      <c r="F12" t="s">
        <v>445</v>
      </c>
      <c r="G12">
        <v>0</v>
      </c>
      <c r="H12">
        <v>0</v>
      </c>
    </row>
    <row r="13" spans="1:8">
      <c r="A13">
        <v>112110</v>
      </c>
      <c r="B13">
        <v>3</v>
      </c>
      <c r="C13">
        <v>0</v>
      </c>
      <c r="D13" t="s">
        <v>457</v>
      </c>
      <c r="E13" t="s">
        <v>461</v>
      </c>
      <c r="F13" t="s">
        <v>459</v>
      </c>
      <c r="G13">
        <v>0</v>
      </c>
      <c r="H13">
        <v>1</v>
      </c>
    </row>
    <row r="14" spans="1:8">
      <c r="A14">
        <v>113110</v>
      </c>
      <c r="B14">
        <v>3</v>
      </c>
      <c r="C14">
        <v>0</v>
      </c>
      <c r="D14" t="s">
        <v>463</v>
      </c>
      <c r="E14" t="s">
        <v>465</v>
      </c>
      <c r="F14" t="s">
        <v>457</v>
      </c>
      <c r="G14">
        <v>0</v>
      </c>
      <c r="H14">
        <v>3</v>
      </c>
    </row>
    <row r="15" spans="1:8">
      <c r="A15">
        <v>114110</v>
      </c>
      <c r="B15">
        <v>0</v>
      </c>
      <c r="C15">
        <v>0</v>
      </c>
      <c r="D15" t="s">
        <v>467</v>
      </c>
      <c r="E15" t="s">
        <v>469</v>
      </c>
      <c r="F15" t="s">
        <v>463</v>
      </c>
      <c r="G15">
        <v>0</v>
      </c>
      <c r="H15">
        <v>3</v>
      </c>
    </row>
    <row r="16" spans="1:8">
      <c r="A16">
        <v>115110</v>
      </c>
      <c r="B16">
        <v>1</v>
      </c>
      <c r="C16">
        <v>0</v>
      </c>
      <c r="D16" t="s">
        <v>459</v>
      </c>
      <c r="E16" t="s">
        <v>471</v>
      </c>
      <c r="F16" t="s">
        <v>473</v>
      </c>
      <c r="G16">
        <v>0</v>
      </c>
      <c r="H16">
        <v>0</v>
      </c>
    </row>
    <row r="17" spans="1:8">
      <c r="A17">
        <v>115101</v>
      </c>
      <c r="B17">
        <v>0</v>
      </c>
      <c r="C17">
        <v>0</v>
      </c>
      <c r="D17" t="s">
        <v>407</v>
      </c>
      <c r="E17" t="s">
        <v>477</v>
      </c>
      <c r="F17" t="s">
        <v>479</v>
      </c>
      <c r="G17">
        <v>0</v>
      </c>
      <c r="H17">
        <v>4</v>
      </c>
    </row>
    <row r="18" spans="1:8">
      <c r="A18">
        <v>116110</v>
      </c>
      <c r="B18">
        <v>1</v>
      </c>
      <c r="C18">
        <v>0</v>
      </c>
      <c r="D18" t="s">
        <v>485</v>
      </c>
      <c r="E18" t="s">
        <v>475</v>
      </c>
      <c r="F18" t="s">
        <v>427</v>
      </c>
      <c r="G18">
        <v>0</v>
      </c>
      <c r="H18">
        <v>0</v>
      </c>
    </row>
    <row r="19" spans="1:8">
      <c r="A19">
        <v>116101</v>
      </c>
      <c r="B19">
        <v>0</v>
      </c>
      <c r="C19">
        <v>0</v>
      </c>
      <c r="D19" t="s">
        <v>407</v>
      </c>
      <c r="E19" t="s">
        <v>481</v>
      </c>
      <c r="F19" t="s">
        <v>483</v>
      </c>
      <c r="G19">
        <v>0</v>
      </c>
      <c r="H19">
        <v>4</v>
      </c>
    </row>
    <row r="20" spans="1:8">
      <c r="A20">
        <v>117110</v>
      </c>
      <c r="B20">
        <v>3</v>
      </c>
      <c r="C20">
        <v>0</v>
      </c>
      <c r="D20" t="s">
        <v>575</v>
      </c>
      <c r="E20" t="s">
        <v>487</v>
      </c>
      <c r="F20" t="s">
        <v>449</v>
      </c>
      <c r="G20">
        <v>0</v>
      </c>
      <c r="H20">
        <v>0</v>
      </c>
    </row>
    <row r="21" spans="1:8">
      <c r="A21">
        <v>117101</v>
      </c>
      <c r="B21">
        <v>0</v>
      </c>
      <c r="C21">
        <v>0</v>
      </c>
      <c r="D21" t="s">
        <v>407</v>
      </c>
      <c r="E21" t="s">
        <v>489</v>
      </c>
      <c r="F21" t="s">
        <v>491</v>
      </c>
      <c r="G21">
        <v>0</v>
      </c>
      <c r="H21">
        <v>4</v>
      </c>
    </row>
    <row r="22" spans="1:8">
      <c r="A22">
        <v>118110</v>
      </c>
      <c r="B22">
        <v>1</v>
      </c>
      <c r="C22">
        <v>0</v>
      </c>
      <c r="D22" t="s">
        <v>495</v>
      </c>
      <c r="E22" t="s">
        <v>493</v>
      </c>
      <c r="F22" t="s">
        <v>497</v>
      </c>
      <c r="G22">
        <v>0</v>
      </c>
      <c r="H22">
        <v>0</v>
      </c>
    </row>
    <row r="23" spans="1:8">
      <c r="A23">
        <v>118101</v>
      </c>
      <c r="B23">
        <v>0</v>
      </c>
      <c r="C23">
        <v>0</v>
      </c>
      <c r="D23" t="s">
        <v>407</v>
      </c>
      <c r="E23" t="s">
        <v>507</v>
      </c>
      <c r="F23" t="s">
        <v>509</v>
      </c>
      <c r="G23">
        <v>0</v>
      </c>
      <c r="H23">
        <v>4</v>
      </c>
    </row>
    <row r="24" spans="1:8">
      <c r="A24">
        <v>119110</v>
      </c>
      <c r="B24">
        <v>1</v>
      </c>
      <c r="C24">
        <v>0</v>
      </c>
      <c r="D24" t="s">
        <v>499</v>
      </c>
      <c r="E24" t="s">
        <v>501</v>
      </c>
      <c r="F24" t="s">
        <v>497</v>
      </c>
      <c r="G24">
        <v>0</v>
      </c>
      <c r="H24">
        <v>0</v>
      </c>
    </row>
    <row r="25" spans="1:8">
      <c r="A25">
        <v>119101</v>
      </c>
      <c r="B25">
        <v>0</v>
      </c>
      <c r="C25">
        <v>0</v>
      </c>
      <c r="D25" t="s">
        <v>407</v>
      </c>
      <c r="E25" t="s">
        <v>503</v>
      </c>
      <c r="F25" t="s">
        <v>505</v>
      </c>
      <c r="G25">
        <v>0</v>
      </c>
      <c r="H25">
        <v>4</v>
      </c>
    </row>
    <row r="26" spans="1:8">
      <c r="A26">
        <v>120110</v>
      </c>
      <c r="B26">
        <v>0</v>
      </c>
      <c r="C26">
        <v>0</v>
      </c>
      <c r="D26" t="s">
        <v>407</v>
      </c>
      <c r="E26" t="s">
        <v>511</v>
      </c>
      <c r="F26" t="s">
        <v>513</v>
      </c>
      <c r="G26">
        <v>0</v>
      </c>
      <c r="H26">
        <v>1</v>
      </c>
    </row>
    <row r="27" spans="1:8">
      <c r="A27">
        <v>120101</v>
      </c>
      <c r="B27">
        <v>0</v>
      </c>
      <c r="C27">
        <v>0</v>
      </c>
      <c r="D27" t="s">
        <v>531</v>
      </c>
      <c r="E27" t="s">
        <v>535</v>
      </c>
      <c r="F27" t="s">
        <v>407</v>
      </c>
      <c r="G27">
        <v>0</v>
      </c>
      <c r="H27">
        <v>0</v>
      </c>
    </row>
    <row r="28" spans="1:8">
      <c r="A28">
        <v>121110</v>
      </c>
      <c r="B28">
        <v>0</v>
      </c>
      <c r="C28">
        <v>0</v>
      </c>
      <c r="D28" t="s">
        <v>407</v>
      </c>
      <c r="E28" t="s">
        <v>525</v>
      </c>
      <c r="F28" t="s">
        <v>523</v>
      </c>
      <c r="G28">
        <v>0</v>
      </c>
      <c r="H28">
        <v>1</v>
      </c>
    </row>
    <row r="29" spans="1:8">
      <c r="A29">
        <v>121101</v>
      </c>
      <c r="B29">
        <v>0</v>
      </c>
      <c r="C29">
        <v>0</v>
      </c>
      <c r="D29" t="s">
        <v>533</v>
      </c>
      <c r="E29" t="s">
        <v>537</v>
      </c>
      <c r="F29" t="s">
        <v>407</v>
      </c>
      <c r="G29">
        <v>0</v>
      </c>
      <c r="H29">
        <v>0</v>
      </c>
    </row>
    <row r="30" spans="1:8">
      <c r="A30">
        <v>122110</v>
      </c>
      <c r="B30">
        <v>3</v>
      </c>
      <c r="C30">
        <v>0</v>
      </c>
      <c r="D30" t="s">
        <v>515</v>
      </c>
      <c r="E30" t="s">
        <v>517</v>
      </c>
      <c r="F30" t="s">
        <v>407</v>
      </c>
      <c r="G30">
        <v>0</v>
      </c>
      <c r="H30">
        <v>0</v>
      </c>
    </row>
    <row r="31" spans="1:8">
      <c r="A31">
        <v>122101</v>
      </c>
      <c r="B31">
        <v>0</v>
      </c>
      <c r="C31">
        <v>0</v>
      </c>
      <c r="D31" t="s">
        <v>407</v>
      </c>
      <c r="E31" t="s">
        <v>519</v>
      </c>
      <c r="F31" t="s">
        <v>521</v>
      </c>
      <c r="G31">
        <v>0</v>
      </c>
      <c r="H31">
        <v>4</v>
      </c>
    </row>
    <row r="32" spans="1:8">
      <c r="A32">
        <v>123110</v>
      </c>
      <c r="B32">
        <v>1</v>
      </c>
      <c r="C32">
        <v>0</v>
      </c>
      <c r="D32" t="s">
        <v>513</v>
      </c>
      <c r="E32" t="s">
        <v>527</v>
      </c>
      <c r="F32" t="s">
        <v>433</v>
      </c>
      <c r="G32">
        <v>0</v>
      </c>
      <c r="H32">
        <v>0</v>
      </c>
    </row>
    <row r="33" spans="1:8">
      <c r="A33">
        <v>123101</v>
      </c>
      <c r="B33">
        <v>0</v>
      </c>
      <c r="C33">
        <v>0</v>
      </c>
      <c r="D33" t="s">
        <v>407</v>
      </c>
      <c r="E33" t="s">
        <v>539</v>
      </c>
      <c r="F33" t="s">
        <v>531</v>
      </c>
      <c r="G33">
        <v>0</v>
      </c>
      <c r="H33">
        <v>0</v>
      </c>
    </row>
    <row r="34" spans="1:8">
      <c r="A34">
        <v>124110</v>
      </c>
      <c r="B34">
        <v>1</v>
      </c>
      <c r="C34">
        <v>0</v>
      </c>
      <c r="D34" t="s">
        <v>523</v>
      </c>
      <c r="E34" t="s">
        <v>529</v>
      </c>
      <c r="F34" t="s">
        <v>433</v>
      </c>
      <c r="G34">
        <v>0</v>
      </c>
      <c r="H34">
        <v>0</v>
      </c>
    </row>
    <row r="35" spans="1:8">
      <c r="A35">
        <v>124101</v>
      </c>
      <c r="B35">
        <v>0</v>
      </c>
      <c r="C35">
        <v>0</v>
      </c>
      <c r="D35" t="s">
        <v>407</v>
      </c>
      <c r="E35" t="s">
        <v>541</v>
      </c>
      <c r="F35" t="s">
        <v>533</v>
      </c>
      <c r="G35">
        <v>0</v>
      </c>
      <c r="H35">
        <v>0</v>
      </c>
    </row>
    <row r="36" spans="1:8">
      <c r="A36">
        <v>125110</v>
      </c>
      <c r="B36">
        <v>0</v>
      </c>
      <c r="C36">
        <v>0</v>
      </c>
      <c r="D36" t="s">
        <v>543</v>
      </c>
      <c r="E36" t="s">
        <v>545</v>
      </c>
      <c r="F36" t="s">
        <v>407</v>
      </c>
      <c r="G36">
        <v>0</v>
      </c>
      <c r="H36">
        <v>0</v>
      </c>
    </row>
    <row r="37" spans="1:8">
      <c r="A37">
        <v>125101</v>
      </c>
      <c r="B37">
        <v>0</v>
      </c>
      <c r="C37">
        <v>0</v>
      </c>
      <c r="D37" t="s">
        <v>407</v>
      </c>
      <c r="E37" t="s">
        <v>549</v>
      </c>
      <c r="F37" t="s">
        <v>547</v>
      </c>
      <c r="G37">
        <v>0</v>
      </c>
      <c r="H37">
        <v>1</v>
      </c>
    </row>
    <row r="38" spans="1:8">
      <c r="A38">
        <v>126110</v>
      </c>
      <c r="B38">
        <v>0</v>
      </c>
      <c r="C38">
        <v>0</v>
      </c>
      <c r="D38" t="s">
        <v>407</v>
      </c>
      <c r="E38" t="s">
        <v>551</v>
      </c>
      <c r="F38" t="s">
        <v>543</v>
      </c>
      <c r="G38">
        <v>0</v>
      </c>
      <c r="H38">
        <v>0</v>
      </c>
    </row>
    <row r="39" spans="1:8">
      <c r="A39">
        <v>126101</v>
      </c>
      <c r="B39">
        <v>1</v>
      </c>
      <c r="C39">
        <v>0</v>
      </c>
      <c r="D39" t="s">
        <v>547</v>
      </c>
      <c r="E39" t="s">
        <v>551</v>
      </c>
      <c r="F39" t="s">
        <v>407</v>
      </c>
      <c r="G39">
        <v>0</v>
      </c>
      <c r="H39">
        <v>0</v>
      </c>
    </row>
    <row r="40" spans="1:8">
      <c r="A40">
        <v>127110</v>
      </c>
      <c r="B40">
        <v>3</v>
      </c>
      <c r="C40">
        <v>0</v>
      </c>
      <c r="D40" t="s">
        <v>553</v>
      </c>
      <c r="E40" t="s">
        <v>555</v>
      </c>
      <c r="F40" t="s">
        <v>407</v>
      </c>
      <c r="G40">
        <v>0</v>
      </c>
      <c r="H40">
        <v>0</v>
      </c>
    </row>
    <row r="41" spans="1:8">
      <c r="A41">
        <v>127101</v>
      </c>
      <c r="B41">
        <v>0</v>
      </c>
      <c r="C41">
        <v>0</v>
      </c>
      <c r="D41" t="s">
        <v>407</v>
      </c>
      <c r="E41" t="s">
        <v>557</v>
      </c>
      <c r="F41" t="s">
        <v>559</v>
      </c>
      <c r="G41">
        <v>0</v>
      </c>
      <c r="H41">
        <v>4</v>
      </c>
    </row>
    <row r="42" spans="1:8">
      <c r="A42">
        <v>128110</v>
      </c>
      <c r="B42">
        <v>3</v>
      </c>
      <c r="C42">
        <v>0</v>
      </c>
      <c r="D42" t="s">
        <v>561</v>
      </c>
      <c r="E42" t="s">
        <v>563</v>
      </c>
      <c r="F42" t="s">
        <v>420</v>
      </c>
      <c r="G42">
        <v>0</v>
      </c>
      <c r="H42">
        <v>0</v>
      </c>
    </row>
    <row r="43" spans="1:8">
      <c r="A43">
        <v>128101</v>
      </c>
      <c r="B43">
        <v>3</v>
      </c>
      <c r="C43">
        <v>0</v>
      </c>
      <c r="D43" t="s">
        <v>565</v>
      </c>
      <c r="E43" t="s">
        <v>573</v>
      </c>
      <c r="F43" t="s">
        <v>467</v>
      </c>
      <c r="G43">
        <v>0</v>
      </c>
      <c r="H43">
        <v>0</v>
      </c>
    </row>
    <row r="44" spans="1:8">
      <c r="A44">
        <v>128202</v>
      </c>
      <c r="B44">
        <v>0</v>
      </c>
      <c r="C44">
        <v>0</v>
      </c>
      <c r="D44" t="s">
        <v>407</v>
      </c>
      <c r="E44" t="s">
        <v>573</v>
      </c>
      <c r="F44" t="s">
        <v>569</v>
      </c>
      <c r="G44">
        <v>0</v>
      </c>
      <c r="H44">
        <v>4</v>
      </c>
    </row>
    <row r="45" spans="1:8">
      <c r="A45">
        <v>129202</v>
      </c>
      <c r="B45">
        <v>0</v>
      </c>
      <c r="C45">
        <v>0</v>
      </c>
      <c r="D45" t="s">
        <v>407</v>
      </c>
      <c r="E45" t="s">
        <v>573</v>
      </c>
      <c r="F45" t="s">
        <v>567</v>
      </c>
      <c r="G45">
        <v>0</v>
      </c>
      <c r="H45">
        <v>4</v>
      </c>
    </row>
  </sheetData>
  <phoneticPr fontId="1"/>
  <pageMargins left="0.7" right="0.7" top="0.75" bottom="0.75" header="0.3" footer="0.3"/>
  <drawing r:id="rId1"/>
  <legacyDrawing r:id="rId2"/>
  <controls>
    <mc:AlternateContent xmlns:mc="http://schemas.openxmlformats.org/markup-compatibility/2006">
      <mc:Choice Requires="x14">
        <control shapeId="21505" r:id="rId3" name="CSVCreate">
          <controlPr defaultSize="0" autoLine="0" r:id="rId4">
            <anchor moveWithCells="1">
              <from>
                <xdr:col>13</xdr:col>
                <xdr:colOff>180975</xdr:colOff>
                <xdr:row>1</xdr:row>
                <xdr:rowOff>9525</xdr:rowOff>
              </from>
              <to>
                <xdr:col>17</xdr:col>
                <xdr:colOff>114300</xdr:colOff>
                <xdr:row>4</xdr:row>
                <xdr:rowOff>123825</xdr:rowOff>
              </to>
            </anchor>
          </controlPr>
        </control>
      </mc:Choice>
      <mc:Fallback>
        <control shapeId="21505" r:id="rId3" name="CSVCreate"/>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1918C-947D-4AF4-A39B-C1E5D1962CF8}">
  <sheetPr codeName="Sheet11"/>
  <dimension ref="A1:AU141"/>
  <sheetViews>
    <sheetView workbookViewId="0">
      <selection activeCell="N30" sqref="N30"/>
    </sheetView>
  </sheetViews>
  <sheetFormatPr defaultRowHeight="18.75"/>
  <cols>
    <col min="1" max="2" width="9" style="45"/>
    <col min="3" max="3" width="8" style="45" customWidth="1"/>
    <col min="4" max="4" width="9.5" style="45" bestFit="1" customWidth="1"/>
    <col min="5" max="5" width="19.875" style="45" bestFit="1" customWidth="1"/>
    <col min="6" max="11" width="9" style="45"/>
    <col min="12" max="12" width="21.375" style="45" bestFit="1" customWidth="1"/>
    <col min="13" max="16384" width="9" style="45"/>
  </cols>
  <sheetData>
    <row r="1" spans="1:26">
      <c r="B1" s="45" t="s">
        <v>130</v>
      </c>
      <c r="C1" s="45" t="s">
        <v>131</v>
      </c>
      <c r="D1" s="45" t="s">
        <v>132</v>
      </c>
      <c r="E1" s="45" t="s">
        <v>133</v>
      </c>
      <c r="F1" s="45" t="s">
        <v>134</v>
      </c>
      <c r="G1" s="45" t="s">
        <v>135</v>
      </c>
      <c r="H1" s="45" t="s">
        <v>136</v>
      </c>
      <c r="I1" s="45" t="s">
        <v>137</v>
      </c>
      <c r="J1" s="45" t="s">
        <v>138</v>
      </c>
      <c r="K1" s="45" t="s">
        <v>139</v>
      </c>
      <c r="L1" s="45" t="s">
        <v>140</v>
      </c>
      <c r="M1" s="45" t="s">
        <v>141</v>
      </c>
      <c r="N1" s="45" t="s">
        <v>142</v>
      </c>
      <c r="O1" s="45" t="s">
        <v>143</v>
      </c>
      <c r="P1" s="45" t="s">
        <v>144</v>
      </c>
      <c r="Q1" s="46"/>
      <c r="R1" s="47" t="s">
        <v>145</v>
      </c>
    </row>
    <row r="2" spans="1:26">
      <c r="I2" s="125" t="s">
        <v>146</v>
      </c>
      <c r="J2" s="126"/>
      <c r="K2" s="126"/>
      <c r="L2" s="126"/>
      <c r="M2" s="126"/>
      <c r="N2" s="126"/>
      <c r="O2" s="126"/>
      <c r="P2" s="126"/>
      <c r="Q2" s="126"/>
      <c r="R2" s="126"/>
      <c r="S2" s="126"/>
      <c r="T2" s="126"/>
      <c r="U2" s="126"/>
      <c r="V2" s="126"/>
      <c r="W2" s="126"/>
      <c r="X2" s="126"/>
      <c r="Y2" s="126"/>
      <c r="Z2" s="127"/>
    </row>
    <row r="3" spans="1:26">
      <c r="A3" s="45">
        <f>IF(ISBLANK(B3),0,1)</f>
        <v>1</v>
      </c>
      <c r="B3" s="45">
        <v>91000</v>
      </c>
      <c r="C3" s="45">
        <v>1</v>
      </c>
      <c r="D3" s="45">
        <f>B3*1000+C3</f>
        <v>91000001</v>
      </c>
      <c r="E3" s="48" t="s">
        <v>147</v>
      </c>
      <c r="F3" s="45">
        <v>1</v>
      </c>
      <c r="G3" s="45">
        <v>0</v>
      </c>
      <c r="H3" s="45">
        <v>101</v>
      </c>
      <c r="I3" s="49">
        <v>0</v>
      </c>
      <c r="J3" s="50">
        <v>0</v>
      </c>
      <c r="K3" s="50" t="s">
        <v>59</v>
      </c>
      <c r="L3" s="50" t="s">
        <v>60</v>
      </c>
      <c r="M3" s="50" t="s">
        <v>61</v>
      </c>
      <c r="N3" s="50">
        <v>0</v>
      </c>
      <c r="O3" s="50">
        <v>4</v>
      </c>
      <c r="P3" s="51" t="s">
        <v>148</v>
      </c>
      <c r="Q3" s="46"/>
      <c r="R3" s="47"/>
    </row>
    <row r="4" spans="1:26">
      <c r="A4" s="45">
        <f t="shared" ref="A4:A75" si="0">IF(ISBLANK(B4),0,1)</f>
        <v>1</v>
      </c>
      <c r="B4" s="45">
        <v>91000</v>
      </c>
      <c r="C4" s="45">
        <v>2</v>
      </c>
      <c r="D4" s="45">
        <f t="shared" ref="D4:D68" si="1">B4*1000+C4</f>
        <v>91000002</v>
      </c>
      <c r="E4" s="48" t="s">
        <v>149</v>
      </c>
      <c r="F4" s="45">
        <v>1</v>
      </c>
      <c r="G4" s="45">
        <v>0</v>
      </c>
      <c r="H4" s="45">
        <v>1101</v>
      </c>
      <c r="I4" s="52">
        <v>0</v>
      </c>
      <c r="J4" s="53">
        <v>0</v>
      </c>
      <c r="K4" s="53" t="s">
        <v>63</v>
      </c>
      <c r="L4" s="53" t="s">
        <v>60</v>
      </c>
      <c r="M4" s="53" t="s">
        <v>61</v>
      </c>
      <c r="N4" s="53">
        <v>0</v>
      </c>
      <c r="O4" s="53">
        <v>4</v>
      </c>
      <c r="P4" s="54" t="s">
        <v>150</v>
      </c>
      <c r="Q4" s="46"/>
      <c r="R4" s="47"/>
    </row>
    <row r="5" spans="1:26">
      <c r="A5" s="45">
        <f t="shared" si="0"/>
        <v>1</v>
      </c>
      <c r="B5" s="45">
        <v>91000</v>
      </c>
      <c r="C5" s="45">
        <v>3</v>
      </c>
      <c r="D5" s="45">
        <f t="shared" si="1"/>
        <v>91000003</v>
      </c>
      <c r="E5" s="48" t="s">
        <v>151</v>
      </c>
      <c r="F5" s="45">
        <v>1</v>
      </c>
      <c r="G5" s="45">
        <v>0</v>
      </c>
      <c r="H5" s="45">
        <v>1201</v>
      </c>
      <c r="I5" s="55">
        <v>0</v>
      </c>
      <c r="J5" s="45">
        <v>0</v>
      </c>
      <c r="K5" s="45" t="s">
        <v>64</v>
      </c>
      <c r="L5" s="45" t="s">
        <v>60</v>
      </c>
      <c r="M5" s="45" t="s">
        <v>61</v>
      </c>
      <c r="N5" s="45">
        <v>0</v>
      </c>
      <c r="O5" s="45">
        <v>4</v>
      </c>
      <c r="P5" s="51" t="s">
        <v>150</v>
      </c>
      <c r="Q5" s="46"/>
      <c r="R5" s="47"/>
    </row>
    <row r="6" spans="1:26">
      <c r="A6" s="45">
        <f t="shared" si="0"/>
        <v>1</v>
      </c>
      <c r="B6" s="45">
        <v>91000</v>
      </c>
      <c r="C6" s="45">
        <v>4</v>
      </c>
      <c r="D6" s="45">
        <f t="shared" si="1"/>
        <v>91000004</v>
      </c>
      <c r="E6" s="48" t="s">
        <v>152</v>
      </c>
      <c r="F6" s="45">
        <v>1</v>
      </c>
      <c r="G6" s="45">
        <v>0</v>
      </c>
      <c r="H6" s="45">
        <v>1301</v>
      </c>
      <c r="I6" s="55">
        <v>0</v>
      </c>
      <c r="J6" s="45">
        <v>0</v>
      </c>
      <c r="K6" s="45" t="s">
        <v>65</v>
      </c>
      <c r="L6" s="45" t="s">
        <v>60</v>
      </c>
      <c r="M6" s="45" t="s">
        <v>61</v>
      </c>
      <c r="N6" s="45">
        <v>0</v>
      </c>
      <c r="O6" s="45">
        <v>4</v>
      </c>
      <c r="P6" s="51" t="s">
        <v>150</v>
      </c>
      <c r="Q6" s="46"/>
      <c r="R6" s="47"/>
    </row>
    <row r="7" spans="1:26">
      <c r="A7" s="45">
        <f t="shared" si="0"/>
        <v>1</v>
      </c>
      <c r="B7" s="45">
        <v>91000</v>
      </c>
      <c r="C7" s="45">
        <v>5</v>
      </c>
      <c r="D7" s="45">
        <f t="shared" si="1"/>
        <v>91000005</v>
      </c>
      <c r="E7" s="48" t="s">
        <v>153</v>
      </c>
      <c r="F7" s="45">
        <v>1</v>
      </c>
      <c r="G7" s="45">
        <v>0</v>
      </c>
      <c r="H7" s="45">
        <v>1401</v>
      </c>
      <c r="I7" s="56">
        <v>0</v>
      </c>
      <c r="J7" s="57">
        <v>0</v>
      </c>
      <c r="K7" s="57" t="s">
        <v>66</v>
      </c>
      <c r="L7" s="57" t="s">
        <v>60</v>
      </c>
      <c r="M7" s="57" t="s">
        <v>61</v>
      </c>
      <c r="N7" s="57">
        <v>0</v>
      </c>
      <c r="O7" s="57">
        <v>4</v>
      </c>
      <c r="P7" s="58" t="s">
        <v>150</v>
      </c>
      <c r="Q7" s="46"/>
      <c r="R7" s="47"/>
    </row>
    <row r="8" spans="1:26">
      <c r="A8" s="45">
        <v>2</v>
      </c>
      <c r="B8" s="45">
        <v>91000</v>
      </c>
      <c r="C8" s="45">
        <v>6</v>
      </c>
      <c r="D8" s="45">
        <f t="shared" si="1"/>
        <v>91000006</v>
      </c>
      <c r="E8" s="48" t="s">
        <v>154</v>
      </c>
      <c r="F8" s="45">
        <v>1</v>
      </c>
      <c r="G8" s="45">
        <v>1</v>
      </c>
      <c r="H8" s="45">
        <v>2001</v>
      </c>
      <c r="I8" s="59">
        <v>0</v>
      </c>
      <c r="J8" s="60">
        <v>0</v>
      </c>
      <c r="K8" s="60" t="s">
        <v>59</v>
      </c>
      <c r="L8" s="60" t="s">
        <v>60</v>
      </c>
      <c r="M8" s="60" t="s">
        <v>67</v>
      </c>
      <c r="N8" s="60">
        <v>0</v>
      </c>
      <c r="O8" s="60">
        <v>1</v>
      </c>
      <c r="P8" s="60" t="s">
        <v>150</v>
      </c>
      <c r="Q8" s="61"/>
      <c r="R8" s="62">
        <v>2501</v>
      </c>
      <c r="S8" s="63">
        <v>0</v>
      </c>
      <c r="T8" s="63">
        <v>0</v>
      </c>
      <c r="U8" s="63" t="s">
        <v>155</v>
      </c>
      <c r="V8" s="63" t="s">
        <v>108</v>
      </c>
      <c r="W8" s="63" t="s">
        <v>59</v>
      </c>
      <c r="X8" s="63">
        <v>0</v>
      </c>
      <c r="Y8" s="63">
        <v>0</v>
      </c>
      <c r="Z8" s="64" t="s">
        <v>156</v>
      </c>
    </row>
    <row r="9" spans="1:26">
      <c r="A9" s="45">
        <v>2</v>
      </c>
      <c r="B9" s="45">
        <v>91000</v>
      </c>
      <c r="C9" s="45">
        <v>7</v>
      </c>
      <c r="D9" s="45">
        <f t="shared" si="1"/>
        <v>91000007</v>
      </c>
      <c r="E9" s="48" t="s">
        <v>157</v>
      </c>
      <c r="F9" s="45">
        <v>1</v>
      </c>
      <c r="G9" s="45">
        <v>1</v>
      </c>
      <c r="H9" s="45">
        <v>2002</v>
      </c>
      <c r="I9" s="65">
        <v>0</v>
      </c>
      <c r="J9" s="63">
        <v>0</v>
      </c>
      <c r="K9" s="63" t="s">
        <v>59</v>
      </c>
      <c r="L9" s="63" t="s">
        <v>60</v>
      </c>
      <c r="M9" s="63" t="s">
        <v>68</v>
      </c>
      <c r="N9" s="63">
        <v>0</v>
      </c>
      <c r="O9" s="63">
        <v>1</v>
      </c>
      <c r="P9" s="63" t="s">
        <v>150</v>
      </c>
      <c r="Q9" s="61"/>
      <c r="R9" s="62">
        <v>2502</v>
      </c>
      <c r="S9" s="63">
        <v>0</v>
      </c>
      <c r="T9" s="63">
        <v>0</v>
      </c>
      <c r="U9" s="63" t="s">
        <v>158</v>
      </c>
      <c r="V9" s="63" t="s">
        <v>109</v>
      </c>
      <c r="W9" s="63" t="s">
        <v>59</v>
      </c>
      <c r="X9" s="63">
        <v>0</v>
      </c>
      <c r="Y9" s="63">
        <v>0</v>
      </c>
      <c r="Z9" s="64" t="s">
        <v>156</v>
      </c>
    </row>
    <row r="10" spans="1:26">
      <c r="A10" s="45">
        <f t="shared" si="0"/>
        <v>0</v>
      </c>
      <c r="I10" s="128" t="s">
        <v>159</v>
      </c>
      <c r="J10" s="129"/>
      <c r="K10" s="129"/>
      <c r="L10" s="129"/>
      <c r="M10" s="129"/>
      <c r="N10" s="129"/>
      <c r="O10" s="129"/>
      <c r="P10" s="129"/>
      <c r="Q10" s="126"/>
      <c r="R10" s="126"/>
      <c r="S10" s="126"/>
      <c r="T10" s="126"/>
      <c r="U10" s="126"/>
      <c r="V10" s="126"/>
      <c r="W10" s="126"/>
      <c r="X10" s="126"/>
      <c r="Y10" s="126"/>
      <c r="Z10" s="127"/>
    </row>
    <row r="11" spans="1:26">
      <c r="A11" s="45">
        <f t="shared" si="0"/>
        <v>1</v>
      </c>
      <c r="B11" s="45">
        <v>91000</v>
      </c>
      <c r="C11" s="45">
        <v>101</v>
      </c>
      <c r="D11" s="45">
        <f t="shared" si="1"/>
        <v>91000101</v>
      </c>
      <c r="E11" s="48" t="s">
        <v>160</v>
      </c>
      <c r="F11" s="45">
        <v>1</v>
      </c>
      <c r="G11" s="45">
        <v>0</v>
      </c>
      <c r="H11" s="45">
        <v>6001</v>
      </c>
      <c r="I11" s="66">
        <v>0</v>
      </c>
      <c r="J11" s="67">
        <v>0</v>
      </c>
      <c r="K11" s="67" t="s">
        <v>161</v>
      </c>
      <c r="L11" s="67" t="s">
        <v>162</v>
      </c>
      <c r="M11" s="67" t="s">
        <v>59</v>
      </c>
      <c r="N11" s="67">
        <v>0</v>
      </c>
      <c r="O11" s="67">
        <v>0</v>
      </c>
      <c r="P11" s="54" t="s">
        <v>148</v>
      </c>
      <c r="Q11" s="46"/>
      <c r="R11" s="47"/>
    </row>
    <row r="12" spans="1:26">
      <c r="A12" s="45">
        <f t="shared" si="0"/>
        <v>1</v>
      </c>
      <c r="B12" s="45">
        <v>91000</v>
      </c>
      <c r="C12" s="45">
        <v>102</v>
      </c>
      <c r="D12" s="45">
        <f t="shared" si="1"/>
        <v>91000102</v>
      </c>
      <c r="E12" s="48" t="s">
        <v>163</v>
      </c>
      <c r="F12" s="45">
        <v>1</v>
      </c>
      <c r="G12" s="45">
        <v>0</v>
      </c>
      <c r="H12" s="45">
        <v>6101</v>
      </c>
      <c r="I12" s="68">
        <v>0</v>
      </c>
      <c r="J12" s="69">
        <v>0</v>
      </c>
      <c r="K12" s="69" t="s">
        <v>59</v>
      </c>
      <c r="L12" s="69" t="s">
        <v>164</v>
      </c>
      <c r="M12" s="69" t="s">
        <v>161</v>
      </c>
      <c r="N12" s="69">
        <v>0</v>
      </c>
      <c r="O12" s="69">
        <v>0</v>
      </c>
      <c r="P12" s="58" t="s">
        <v>148</v>
      </c>
      <c r="Q12" s="46"/>
      <c r="R12" s="47"/>
    </row>
    <row r="13" spans="1:26">
      <c r="A13" s="45">
        <f t="shared" si="0"/>
        <v>1</v>
      </c>
      <c r="B13" s="45">
        <v>91000</v>
      </c>
      <c r="C13" s="45">
        <v>103</v>
      </c>
      <c r="D13" s="45">
        <f t="shared" si="1"/>
        <v>91000103</v>
      </c>
      <c r="E13" s="48" t="s">
        <v>165</v>
      </c>
      <c r="F13" s="45">
        <v>1</v>
      </c>
      <c r="G13" s="45">
        <v>0</v>
      </c>
      <c r="H13" s="45">
        <v>6002</v>
      </c>
      <c r="I13" s="70">
        <v>0</v>
      </c>
      <c r="J13" s="71">
        <v>0</v>
      </c>
      <c r="K13" s="71" t="s">
        <v>166</v>
      </c>
      <c r="L13" s="71" t="s">
        <v>165</v>
      </c>
      <c r="M13" s="71" t="s">
        <v>167</v>
      </c>
      <c r="N13" s="71">
        <v>0</v>
      </c>
      <c r="O13" s="71">
        <v>0</v>
      </c>
      <c r="P13" s="54" t="s">
        <v>150</v>
      </c>
      <c r="Q13" s="46"/>
      <c r="R13" s="47"/>
    </row>
    <row r="14" spans="1:26">
      <c r="A14" s="45">
        <f t="shared" si="0"/>
        <v>1</v>
      </c>
      <c r="B14" s="45">
        <v>91000</v>
      </c>
      <c r="C14" s="45">
        <v>104</v>
      </c>
      <c r="D14" s="45">
        <f t="shared" si="1"/>
        <v>91000104</v>
      </c>
      <c r="E14" s="48" t="s">
        <v>168</v>
      </c>
      <c r="F14" s="45">
        <v>1</v>
      </c>
      <c r="G14" s="45">
        <v>0</v>
      </c>
      <c r="H14" s="45">
        <v>6102</v>
      </c>
      <c r="I14" s="59">
        <v>0</v>
      </c>
      <c r="J14" s="60">
        <v>0</v>
      </c>
      <c r="K14" s="60" t="s">
        <v>167</v>
      </c>
      <c r="L14" s="60" t="s">
        <v>168</v>
      </c>
      <c r="M14" s="60" t="s">
        <v>166</v>
      </c>
      <c r="N14" s="60">
        <v>0</v>
      </c>
      <c r="O14" s="60">
        <v>0</v>
      </c>
      <c r="P14" s="58" t="s">
        <v>150</v>
      </c>
      <c r="Q14" s="46"/>
      <c r="R14" s="47"/>
    </row>
    <row r="15" spans="1:26">
      <c r="A15" s="45">
        <f t="shared" si="0"/>
        <v>1</v>
      </c>
      <c r="B15" s="45">
        <v>91000</v>
      </c>
      <c r="C15" s="45">
        <v>105</v>
      </c>
      <c r="D15" s="45">
        <f t="shared" si="1"/>
        <v>91000105</v>
      </c>
      <c r="E15" s="48" t="s">
        <v>169</v>
      </c>
      <c r="F15" s="45">
        <v>1</v>
      </c>
      <c r="G15" s="45">
        <v>0</v>
      </c>
      <c r="H15" s="45">
        <v>6003</v>
      </c>
      <c r="I15" s="70">
        <v>0</v>
      </c>
      <c r="J15" s="71">
        <v>0</v>
      </c>
      <c r="K15" s="71" t="s">
        <v>170</v>
      </c>
      <c r="L15" s="71" t="s">
        <v>169</v>
      </c>
      <c r="M15" s="71" t="s">
        <v>167</v>
      </c>
      <c r="N15" s="71">
        <v>0</v>
      </c>
      <c r="O15" s="71">
        <v>0</v>
      </c>
      <c r="P15" s="54" t="s">
        <v>150</v>
      </c>
      <c r="Q15" s="46"/>
      <c r="R15" s="47"/>
    </row>
    <row r="16" spans="1:26">
      <c r="A16" s="45">
        <f t="shared" si="0"/>
        <v>1</v>
      </c>
      <c r="B16" s="45">
        <v>91000</v>
      </c>
      <c r="C16" s="45">
        <v>106</v>
      </c>
      <c r="D16" s="45">
        <f t="shared" si="1"/>
        <v>91000106</v>
      </c>
      <c r="E16" s="48" t="s">
        <v>171</v>
      </c>
      <c r="F16" s="45">
        <v>1</v>
      </c>
      <c r="G16" s="45">
        <v>0</v>
      </c>
      <c r="H16" s="45">
        <v>6103</v>
      </c>
      <c r="I16" s="59">
        <v>0</v>
      </c>
      <c r="J16" s="60">
        <v>0</v>
      </c>
      <c r="K16" s="60" t="s">
        <v>167</v>
      </c>
      <c r="L16" s="60" t="s">
        <v>171</v>
      </c>
      <c r="M16" s="60" t="s">
        <v>170</v>
      </c>
      <c r="N16" s="60">
        <v>0</v>
      </c>
      <c r="O16" s="60">
        <v>0</v>
      </c>
      <c r="P16" s="58" t="s">
        <v>150</v>
      </c>
      <c r="Q16" s="46"/>
      <c r="R16" s="47"/>
    </row>
    <row r="17" spans="1:18">
      <c r="A17" s="45">
        <f t="shared" si="0"/>
        <v>1</v>
      </c>
      <c r="B17" s="45">
        <v>91000</v>
      </c>
      <c r="C17" s="45">
        <v>107</v>
      </c>
      <c r="D17" s="45">
        <f t="shared" si="1"/>
        <v>91000107</v>
      </c>
      <c r="E17" s="48" t="s">
        <v>172</v>
      </c>
      <c r="F17" s="45">
        <v>1</v>
      </c>
      <c r="G17" s="45">
        <v>0</v>
      </c>
      <c r="H17" s="45">
        <v>6501</v>
      </c>
      <c r="I17" s="72">
        <v>0</v>
      </c>
      <c r="J17" s="73">
        <v>0</v>
      </c>
      <c r="K17" s="73" t="s">
        <v>100</v>
      </c>
      <c r="L17" s="73" t="s">
        <v>173</v>
      </c>
      <c r="M17" s="73" t="s">
        <v>59</v>
      </c>
      <c r="N17" s="73">
        <v>0</v>
      </c>
      <c r="O17" s="73">
        <v>0</v>
      </c>
      <c r="P17" s="74" t="s">
        <v>174</v>
      </c>
      <c r="Q17" s="46"/>
      <c r="R17" s="47"/>
    </row>
    <row r="18" spans="1:18">
      <c r="A18" s="45">
        <f t="shared" si="0"/>
        <v>1</v>
      </c>
      <c r="B18" s="45">
        <v>91000</v>
      </c>
      <c r="C18" s="45">
        <v>108</v>
      </c>
      <c r="D18" s="45">
        <f t="shared" si="1"/>
        <v>91000108</v>
      </c>
      <c r="E18" s="48" t="s">
        <v>175</v>
      </c>
      <c r="F18" s="45">
        <v>1</v>
      </c>
      <c r="G18" s="45">
        <v>0</v>
      </c>
      <c r="H18" s="45">
        <v>6502</v>
      </c>
      <c r="I18" s="75">
        <v>0</v>
      </c>
      <c r="J18" s="76">
        <v>0</v>
      </c>
      <c r="K18" s="76" t="s">
        <v>176</v>
      </c>
      <c r="L18" s="76" t="s">
        <v>70</v>
      </c>
      <c r="M18" s="76" t="s">
        <v>167</v>
      </c>
      <c r="N18" s="76">
        <v>0</v>
      </c>
      <c r="O18" s="76">
        <v>0</v>
      </c>
      <c r="P18" s="74" t="s">
        <v>150</v>
      </c>
      <c r="Q18" s="46"/>
      <c r="R18" s="47"/>
    </row>
    <row r="19" spans="1:18">
      <c r="A19" s="45">
        <f t="shared" si="0"/>
        <v>1</v>
      </c>
      <c r="B19" s="45">
        <v>91000</v>
      </c>
      <c r="C19" s="45">
        <v>109</v>
      </c>
      <c r="D19" s="45">
        <f t="shared" si="1"/>
        <v>91000109</v>
      </c>
      <c r="E19" s="48" t="s">
        <v>177</v>
      </c>
      <c r="F19" s="45">
        <v>1</v>
      </c>
      <c r="G19" s="45">
        <v>0</v>
      </c>
      <c r="H19" s="45">
        <v>6503</v>
      </c>
      <c r="I19" s="68">
        <v>0</v>
      </c>
      <c r="J19" s="69">
        <v>0</v>
      </c>
      <c r="K19" s="69" t="s">
        <v>72</v>
      </c>
      <c r="L19" s="69" t="s">
        <v>71</v>
      </c>
      <c r="M19" s="69" t="s">
        <v>59</v>
      </c>
      <c r="N19" s="69">
        <v>0</v>
      </c>
      <c r="O19" s="69">
        <v>0</v>
      </c>
      <c r="P19" s="77" t="s">
        <v>150</v>
      </c>
      <c r="Q19" s="46"/>
      <c r="R19" s="47"/>
    </row>
    <row r="20" spans="1:18">
      <c r="A20" s="45">
        <f t="shared" si="0"/>
        <v>1</v>
      </c>
      <c r="B20" s="45">
        <v>91000</v>
      </c>
      <c r="C20" s="45">
        <v>110</v>
      </c>
      <c r="D20" s="45">
        <f t="shared" si="1"/>
        <v>91000110</v>
      </c>
      <c r="E20" s="48" t="s">
        <v>178</v>
      </c>
      <c r="F20" s="45">
        <v>1</v>
      </c>
      <c r="G20" s="45">
        <v>0</v>
      </c>
      <c r="H20" s="45">
        <v>7001</v>
      </c>
      <c r="I20" s="52">
        <v>0</v>
      </c>
      <c r="J20" s="53">
        <v>0</v>
      </c>
      <c r="K20" s="53" t="s">
        <v>73</v>
      </c>
      <c r="L20" s="53" t="s">
        <v>179</v>
      </c>
      <c r="M20" s="53" t="s">
        <v>59</v>
      </c>
      <c r="N20" s="53">
        <v>0</v>
      </c>
      <c r="O20" s="53">
        <v>0</v>
      </c>
      <c r="P20" s="78" t="s">
        <v>150</v>
      </c>
      <c r="Q20" s="46"/>
      <c r="R20" s="47"/>
    </row>
    <row r="21" spans="1:18">
      <c r="A21" s="45">
        <f t="shared" si="0"/>
        <v>1</v>
      </c>
      <c r="B21" s="45">
        <v>91000</v>
      </c>
      <c r="C21" s="45">
        <v>111</v>
      </c>
      <c r="D21" s="45">
        <f t="shared" si="1"/>
        <v>91000111</v>
      </c>
      <c r="E21" s="48" t="s">
        <v>180</v>
      </c>
      <c r="F21" s="45">
        <v>1</v>
      </c>
      <c r="G21" s="45">
        <v>0</v>
      </c>
      <c r="H21" s="45">
        <v>7002</v>
      </c>
      <c r="I21" s="68">
        <v>0</v>
      </c>
      <c r="J21" s="69">
        <v>0</v>
      </c>
      <c r="K21" s="69" t="s">
        <v>75</v>
      </c>
      <c r="L21" s="69" t="s">
        <v>74</v>
      </c>
      <c r="M21" s="69" t="s">
        <v>59</v>
      </c>
      <c r="N21" s="69">
        <v>0</v>
      </c>
      <c r="O21" s="69">
        <v>0</v>
      </c>
      <c r="P21" s="77" t="s">
        <v>150</v>
      </c>
      <c r="Q21" s="46"/>
      <c r="R21" s="47"/>
    </row>
    <row r="22" spans="1:18">
      <c r="A22" s="45">
        <f t="shared" si="0"/>
        <v>1</v>
      </c>
      <c r="B22" s="45">
        <v>91000</v>
      </c>
      <c r="C22" s="45">
        <v>112</v>
      </c>
      <c r="D22" s="45">
        <f t="shared" si="1"/>
        <v>91000112</v>
      </c>
      <c r="E22" s="48" t="s">
        <v>181</v>
      </c>
      <c r="F22" s="45">
        <v>1</v>
      </c>
      <c r="G22" s="45">
        <v>0</v>
      </c>
      <c r="H22" s="45">
        <v>8011</v>
      </c>
      <c r="I22" s="66">
        <v>0</v>
      </c>
      <c r="J22" s="67">
        <v>0</v>
      </c>
      <c r="K22" s="67" t="s">
        <v>182</v>
      </c>
      <c r="L22" s="67" t="s">
        <v>183</v>
      </c>
      <c r="M22" s="67" t="s">
        <v>59</v>
      </c>
      <c r="N22" s="67">
        <v>0</v>
      </c>
      <c r="O22" s="67">
        <v>0</v>
      </c>
      <c r="P22" s="78" t="s">
        <v>184</v>
      </c>
      <c r="Q22" s="46"/>
      <c r="R22" s="47"/>
    </row>
    <row r="23" spans="1:18">
      <c r="A23" s="45">
        <f t="shared" si="0"/>
        <v>1</v>
      </c>
      <c r="B23" s="45">
        <v>91000</v>
      </c>
      <c r="C23" s="45">
        <v>113</v>
      </c>
      <c r="D23" s="45">
        <f t="shared" si="1"/>
        <v>91000113</v>
      </c>
      <c r="E23" s="48" t="s">
        <v>185</v>
      </c>
      <c r="F23" s="45">
        <v>1</v>
      </c>
      <c r="G23" s="45">
        <v>0</v>
      </c>
      <c r="H23" s="45">
        <v>8021</v>
      </c>
      <c r="I23" s="79">
        <v>0</v>
      </c>
      <c r="J23" s="80">
        <v>0</v>
      </c>
      <c r="K23" s="80" t="s">
        <v>76</v>
      </c>
      <c r="L23" s="80" t="s">
        <v>77</v>
      </c>
      <c r="M23" s="80" t="s">
        <v>59</v>
      </c>
      <c r="N23" s="80">
        <v>0</v>
      </c>
      <c r="O23" s="80">
        <v>0</v>
      </c>
      <c r="P23" s="74" t="s">
        <v>184</v>
      </c>
      <c r="Q23" s="46"/>
      <c r="R23" s="47"/>
    </row>
    <row r="24" spans="1:18">
      <c r="A24" s="45">
        <f t="shared" si="0"/>
        <v>1</v>
      </c>
      <c r="B24" s="45">
        <v>91000</v>
      </c>
      <c r="C24" s="45">
        <v>114</v>
      </c>
      <c r="D24" s="45">
        <f t="shared" si="1"/>
        <v>91000114</v>
      </c>
      <c r="E24" s="45" t="s">
        <v>186</v>
      </c>
      <c r="F24" s="45">
        <v>1</v>
      </c>
      <c r="G24" s="45">
        <v>0</v>
      </c>
      <c r="H24" s="45">
        <v>8501</v>
      </c>
      <c r="I24" s="81">
        <v>0</v>
      </c>
      <c r="J24" s="82">
        <v>0</v>
      </c>
      <c r="K24" s="82" t="s">
        <v>187</v>
      </c>
      <c r="L24" s="82" t="s">
        <v>186</v>
      </c>
      <c r="M24" s="82" t="s">
        <v>167</v>
      </c>
      <c r="N24" s="82">
        <v>0</v>
      </c>
      <c r="O24" s="83">
        <v>0</v>
      </c>
      <c r="P24" s="84" t="s">
        <v>188</v>
      </c>
      <c r="Q24" s="46"/>
      <c r="R24" s="47"/>
    </row>
    <row r="25" spans="1:18">
      <c r="A25" s="45">
        <v>1</v>
      </c>
      <c r="B25" s="45">
        <v>91000</v>
      </c>
      <c r="C25" s="45">
        <v>115</v>
      </c>
      <c r="D25" s="45">
        <f t="shared" si="1"/>
        <v>91000115</v>
      </c>
      <c r="E25" s="45" t="s">
        <v>189</v>
      </c>
      <c r="F25" s="45">
        <v>1</v>
      </c>
      <c r="G25" s="45">
        <v>0</v>
      </c>
      <c r="H25" s="45">
        <v>8001</v>
      </c>
      <c r="I25" s="81">
        <v>0</v>
      </c>
      <c r="J25" s="82">
        <v>0</v>
      </c>
      <c r="K25" s="82" t="s">
        <v>190</v>
      </c>
      <c r="L25" s="82" t="s">
        <v>189</v>
      </c>
      <c r="M25" s="82" t="s">
        <v>59</v>
      </c>
      <c r="N25" s="82">
        <v>0</v>
      </c>
      <c r="O25" s="82">
        <v>0</v>
      </c>
      <c r="P25" s="82" t="s">
        <v>184</v>
      </c>
      <c r="Q25" s="85"/>
      <c r="R25" s="47"/>
    </row>
    <row r="26" spans="1:18">
      <c r="A26" s="45">
        <v>1</v>
      </c>
      <c r="B26" s="45">
        <v>91000</v>
      </c>
      <c r="C26" s="45">
        <v>116</v>
      </c>
      <c r="D26" s="45">
        <f t="shared" si="1"/>
        <v>91000116</v>
      </c>
      <c r="E26" s="48" t="s">
        <v>191</v>
      </c>
      <c r="F26" s="45">
        <v>1</v>
      </c>
      <c r="G26" s="45">
        <v>0</v>
      </c>
      <c r="H26" s="45">
        <v>8012</v>
      </c>
      <c r="I26" s="66">
        <v>0</v>
      </c>
      <c r="J26" s="67">
        <v>0</v>
      </c>
      <c r="K26" s="67" t="s">
        <v>161</v>
      </c>
      <c r="L26" s="67" t="s">
        <v>162</v>
      </c>
      <c r="M26" s="67" t="s">
        <v>182</v>
      </c>
      <c r="N26" s="67">
        <v>0</v>
      </c>
      <c r="O26" s="67">
        <v>0</v>
      </c>
      <c r="P26" s="82" t="s">
        <v>184</v>
      </c>
      <c r="Q26" s="46"/>
      <c r="R26" s="47"/>
    </row>
    <row r="27" spans="1:18" s="86" customFormat="1">
      <c r="A27" s="86">
        <v>1</v>
      </c>
      <c r="B27" s="86">
        <v>91000</v>
      </c>
      <c r="C27" s="86">
        <v>117</v>
      </c>
      <c r="D27" s="86">
        <f t="shared" si="1"/>
        <v>91000117</v>
      </c>
      <c r="E27" s="86" t="s">
        <v>192</v>
      </c>
      <c r="F27" s="86">
        <v>1</v>
      </c>
      <c r="G27" s="86">
        <v>0</v>
      </c>
      <c r="H27" s="86">
        <v>8013</v>
      </c>
      <c r="I27" s="87"/>
      <c r="J27" s="88"/>
      <c r="K27" s="88"/>
      <c r="L27" s="88"/>
      <c r="M27" s="88"/>
      <c r="N27" s="88"/>
      <c r="O27" s="88"/>
      <c r="P27" s="88"/>
      <c r="Q27" s="89"/>
      <c r="R27" s="90"/>
    </row>
    <row r="28" spans="1:18">
      <c r="A28" s="45">
        <v>1</v>
      </c>
      <c r="B28" s="45">
        <v>91000</v>
      </c>
      <c r="C28" s="45">
        <v>118</v>
      </c>
      <c r="D28" s="45">
        <f t="shared" si="1"/>
        <v>91000118</v>
      </c>
      <c r="E28" s="48" t="s">
        <v>193</v>
      </c>
      <c r="F28" s="45">
        <v>1</v>
      </c>
      <c r="G28" s="45">
        <v>0</v>
      </c>
      <c r="H28" s="45">
        <v>8014</v>
      </c>
      <c r="I28" s="81">
        <v>0</v>
      </c>
      <c r="J28" s="82">
        <v>0</v>
      </c>
      <c r="K28" s="82" t="s">
        <v>194</v>
      </c>
      <c r="L28" s="82" t="s">
        <v>193</v>
      </c>
      <c r="M28" s="82" t="s">
        <v>167</v>
      </c>
      <c r="N28" s="82">
        <v>0</v>
      </c>
      <c r="O28" s="82">
        <v>0</v>
      </c>
      <c r="P28" s="82" t="s">
        <v>184</v>
      </c>
      <c r="Q28" s="46"/>
      <c r="R28" s="47"/>
    </row>
    <row r="29" spans="1:18">
      <c r="A29" s="45">
        <v>1</v>
      </c>
      <c r="B29" s="45">
        <v>91000</v>
      </c>
      <c r="C29" s="45">
        <v>119</v>
      </c>
      <c r="D29" s="45">
        <f t="shared" si="1"/>
        <v>91000119</v>
      </c>
      <c r="E29" s="48" t="s">
        <v>195</v>
      </c>
      <c r="F29" s="45">
        <v>1</v>
      </c>
      <c r="G29" s="45">
        <v>0</v>
      </c>
      <c r="H29" s="45">
        <v>8015</v>
      </c>
      <c r="I29" s="81">
        <v>0</v>
      </c>
      <c r="J29" s="82">
        <v>0</v>
      </c>
      <c r="K29" s="82" t="s">
        <v>196</v>
      </c>
      <c r="L29" s="82" t="s">
        <v>195</v>
      </c>
      <c r="M29" s="82" t="s">
        <v>167</v>
      </c>
      <c r="N29" s="82">
        <v>0</v>
      </c>
      <c r="O29" s="82">
        <v>0</v>
      </c>
      <c r="P29" s="82" t="s">
        <v>184</v>
      </c>
      <c r="Q29" s="46"/>
      <c r="R29" s="47"/>
    </row>
    <row r="30" spans="1:18">
      <c r="A30" s="45">
        <v>1</v>
      </c>
      <c r="B30" s="45">
        <v>91000</v>
      </c>
      <c r="C30" s="45">
        <v>120</v>
      </c>
      <c r="D30" s="45">
        <f t="shared" si="1"/>
        <v>91000120</v>
      </c>
      <c r="E30" s="48" t="s">
        <v>197</v>
      </c>
      <c r="F30" s="45">
        <v>1</v>
      </c>
      <c r="G30" s="45">
        <v>0</v>
      </c>
      <c r="H30" s="45">
        <v>8016</v>
      </c>
      <c r="I30" s="68">
        <v>0</v>
      </c>
      <c r="J30" s="69">
        <v>0</v>
      </c>
      <c r="K30" s="69" t="s">
        <v>59</v>
      </c>
      <c r="L30" s="69" t="s">
        <v>78</v>
      </c>
      <c r="M30" s="80" t="s">
        <v>198</v>
      </c>
      <c r="N30" s="69">
        <v>0</v>
      </c>
      <c r="O30" s="69">
        <v>0</v>
      </c>
      <c r="P30" s="82" t="s">
        <v>184</v>
      </c>
      <c r="Q30" s="46"/>
      <c r="R30" s="47"/>
    </row>
    <row r="31" spans="1:18">
      <c r="A31" s="45">
        <v>1</v>
      </c>
      <c r="B31" s="45">
        <v>91000</v>
      </c>
      <c r="C31" s="45">
        <v>121</v>
      </c>
      <c r="D31" s="45">
        <f t="shared" si="1"/>
        <v>91000121</v>
      </c>
      <c r="E31" s="48" t="s">
        <v>199</v>
      </c>
      <c r="F31" s="45">
        <v>1</v>
      </c>
      <c r="G31" s="45">
        <v>0</v>
      </c>
      <c r="H31" s="45">
        <v>8017</v>
      </c>
      <c r="I31" s="68">
        <v>0</v>
      </c>
      <c r="J31" s="69">
        <v>0</v>
      </c>
      <c r="K31" s="69" t="s">
        <v>59</v>
      </c>
      <c r="L31" s="63" t="s">
        <v>199</v>
      </c>
      <c r="M31" s="82" t="s">
        <v>194</v>
      </c>
      <c r="N31" s="69">
        <v>0</v>
      </c>
      <c r="O31" s="69">
        <v>0</v>
      </c>
      <c r="P31" s="82" t="s">
        <v>184</v>
      </c>
      <c r="Q31" s="46"/>
      <c r="R31" s="47"/>
    </row>
    <row r="32" spans="1:18">
      <c r="A32" s="45">
        <v>1</v>
      </c>
      <c r="B32" s="45">
        <v>91000</v>
      </c>
      <c r="C32" s="45">
        <v>122</v>
      </c>
      <c r="D32" s="45">
        <f t="shared" si="1"/>
        <v>91000122</v>
      </c>
      <c r="E32" s="48" t="s">
        <v>200</v>
      </c>
      <c r="F32" s="45">
        <v>1</v>
      </c>
      <c r="G32" s="45">
        <v>0</v>
      </c>
      <c r="H32" s="45">
        <v>8018</v>
      </c>
      <c r="I32" s="68">
        <v>0</v>
      </c>
      <c r="J32" s="69">
        <v>0</v>
      </c>
      <c r="K32" s="69" t="s">
        <v>59</v>
      </c>
      <c r="L32" s="45" t="s">
        <v>200</v>
      </c>
      <c r="M32" s="82" t="s">
        <v>196</v>
      </c>
      <c r="N32" s="69">
        <v>0</v>
      </c>
      <c r="O32" s="69">
        <v>0</v>
      </c>
      <c r="P32" s="82" t="s">
        <v>184</v>
      </c>
      <c r="Q32" s="46"/>
      <c r="R32" s="47"/>
    </row>
    <row r="33" spans="1:26">
      <c r="A33" s="45">
        <v>1</v>
      </c>
      <c r="B33" s="45">
        <v>91000</v>
      </c>
      <c r="C33" s="45">
        <v>123</v>
      </c>
      <c r="D33" s="45">
        <f t="shared" si="1"/>
        <v>91000123</v>
      </c>
      <c r="E33" s="48" t="s">
        <v>201</v>
      </c>
      <c r="F33" s="45">
        <v>1</v>
      </c>
      <c r="G33" s="45">
        <v>0</v>
      </c>
      <c r="H33" s="45">
        <v>6512</v>
      </c>
      <c r="I33" s="56">
        <v>0</v>
      </c>
      <c r="J33" s="57">
        <v>0</v>
      </c>
      <c r="K33" s="57" t="s">
        <v>167</v>
      </c>
      <c r="L33" s="45" t="s">
        <v>201</v>
      </c>
      <c r="M33" s="82" t="s">
        <v>176</v>
      </c>
      <c r="N33" s="57">
        <v>0</v>
      </c>
      <c r="O33" s="57">
        <v>0</v>
      </c>
      <c r="P33" s="77" t="s">
        <v>150</v>
      </c>
      <c r="Q33" s="46"/>
      <c r="R33" s="47"/>
    </row>
    <row r="34" spans="1:26">
      <c r="A34" s="45">
        <f t="shared" si="0"/>
        <v>0</v>
      </c>
      <c r="I34" s="125" t="s">
        <v>202</v>
      </c>
      <c r="J34" s="126"/>
      <c r="K34" s="126"/>
      <c r="L34" s="126"/>
      <c r="M34" s="126"/>
      <c r="N34" s="126"/>
      <c r="O34" s="126"/>
      <c r="P34" s="126"/>
      <c r="Q34" s="126"/>
      <c r="R34" s="126"/>
      <c r="S34" s="126"/>
      <c r="T34" s="126"/>
      <c r="U34" s="126"/>
      <c r="V34" s="126"/>
      <c r="W34" s="126"/>
      <c r="X34" s="126"/>
      <c r="Y34" s="126"/>
      <c r="Z34" s="127"/>
    </row>
    <row r="35" spans="1:26">
      <c r="A35" s="45">
        <f t="shared" si="0"/>
        <v>1</v>
      </c>
      <c r="B35" s="45">
        <v>91500</v>
      </c>
      <c r="C35" s="45">
        <v>1</v>
      </c>
      <c r="D35" s="45">
        <f t="shared" si="1"/>
        <v>91500001</v>
      </c>
      <c r="E35" s="45" t="s">
        <v>203</v>
      </c>
      <c r="F35" s="45">
        <v>1</v>
      </c>
      <c r="G35" s="45">
        <v>0</v>
      </c>
      <c r="H35" s="45">
        <v>11101</v>
      </c>
      <c r="I35" s="55">
        <v>0</v>
      </c>
      <c r="J35" s="45">
        <v>0</v>
      </c>
      <c r="K35" s="45" t="s">
        <v>204</v>
      </c>
      <c r="L35" s="45" t="s">
        <v>205</v>
      </c>
      <c r="M35" s="45" t="s">
        <v>63</v>
      </c>
      <c r="N35" s="45">
        <v>0</v>
      </c>
      <c r="O35" s="45">
        <v>0</v>
      </c>
      <c r="P35" s="74" t="s">
        <v>150</v>
      </c>
      <c r="Q35" s="46"/>
      <c r="R35" s="47"/>
    </row>
    <row r="36" spans="1:26">
      <c r="A36" s="45">
        <f t="shared" si="0"/>
        <v>1</v>
      </c>
      <c r="B36" s="45">
        <v>91500</v>
      </c>
      <c r="C36" s="45">
        <v>2</v>
      </c>
      <c r="D36" s="45">
        <f t="shared" si="1"/>
        <v>91500002</v>
      </c>
      <c r="E36" s="45" t="s">
        <v>206</v>
      </c>
      <c r="F36" s="45">
        <v>1</v>
      </c>
      <c r="G36" s="45">
        <v>0</v>
      </c>
      <c r="H36" s="45">
        <v>11201</v>
      </c>
      <c r="I36" s="55">
        <v>0</v>
      </c>
      <c r="J36" s="45">
        <v>0</v>
      </c>
      <c r="K36" s="45" t="s">
        <v>79</v>
      </c>
      <c r="L36" s="45" t="s">
        <v>207</v>
      </c>
      <c r="M36" s="45" t="s">
        <v>64</v>
      </c>
      <c r="N36" s="45">
        <v>0</v>
      </c>
      <c r="O36" s="45">
        <v>0</v>
      </c>
      <c r="P36" s="74" t="s">
        <v>150</v>
      </c>
      <c r="Q36" s="46"/>
      <c r="R36" s="47"/>
    </row>
    <row r="37" spans="1:26">
      <c r="A37" s="45">
        <f t="shared" si="0"/>
        <v>1</v>
      </c>
      <c r="B37" s="45">
        <v>91500</v>
      </c>
      <c r="C37" s="45">
        <v>3</v>
      </c>
      <c r="D37" s="45">
        <f t="shared" si="1"/>
        <v>91500003</v>
      </c>
      <c r="E37" s="48" t="s">
        <v>208</v>
      </c>
      <c r="F37" s="45">
        <v>1</v>
      </c>
      <c r="G37" s="45">
        <v>0</v>
      </c>
      <c r="H37" s="45">
        <v>11301</v>
      </c>
      <c r="I37" s="55">
        <v>0</v>
      </c>
      <c r="J37" s="45">
        <v>0</v>
      </c>
      <c r="K37" s="45" t="s">
        <v>79</v>
      </c>
      <c r="L37" s="45" t="s">
        <v>209</v>
      </c>
      <c r="M37" s="45" t="s">
        <v>210</v>
      </c>
      <c r="N37" s="45">
        <v>0</v>
      </c>
      <c r="O37" s="45">
        <v>0</v>
      </c>
      <c r="P37" s="74" t="s">
        <v>150</v>
      </c>
      <c r="Q37" s="46"/>
    </row>
    <row r="38" spans="1:26">
      <c r="A38" s="45">
        <f t="shared" si="0"/>
        <v>1</v>
      </c>
      <c r="B38" s="45">
        <v>91500</v>
      </c>
      <c r="C38" s="45">
        <v>4</v>
      </c>
      <c r="D38" s="45">
        <f t="shared" si="1"/>
        <v>91500004</v>
      </c>
      <c r="E38" s="45" t="s">
        <v>211</v>
      </c>
      <c r="F38" s="45">
        <v>1</v>
      </c>
      <c r="G38" s="45">
        <v>0</v>
      </c>
      <c r="H38" s="45">
        <v>11401</v>
      </c>
      <c r="I38" s="55">
        <v>0</v>
      </c>
      <c r="J38" s="45">
        <v>0</v>
      </c>
      <c r="K38" s="45" t="s">
        <v>79</v>
      </c>
      <c r="L38" s="45" t="s">
        <v>212</v>
      </c>
      <c r="M38" s="45" t="s">
        <v>66</v>
      </c>
      <c r="N38" s="45">
        <v>0</v>
      </c>
      <c r="O38" s="45">
        <v>0</v>
      </c>
      <c r="P38" s="74" t="s">
        <v>150</v>
      </c>
      <c r="Q38" s="46"/>
    </row>
    <row r="39" spans="1:26">
      <c r="A39" s="45">
        <f t="shared" si="0"/>
        <v>1</v>
      </c>
      <c r="B39" s="45">
        <v>91500</v>
      </c>
      <c r="C39" s="45">
        <v>5</v>
      </c>
      <c r="D39" s="45">
        <f t="shared" si="1"/>
        <v>91500005</v>
      </c>
      <c r="E39" s="48" t="s">
        <v>213</v>
      </c>
      <c r="F39" s="45">
        <v>1</v>
      </c>
      <c r="G39" s="45">
        <v>0</v>
      </c>
      <c r="H39" s="45">
        <v>11001</v>
      </c>
      <c r="I39" s="55">
        <v>3</v>
      </c>
      <c r="J39" s="45">
        <v>0</v>
      </c>
      <c r="K39" s="45" t="s">
        <v>80</v>
      </c>
      <c r="L39" s="45" t="s">
        <v>81</v>
      </c>
      <c r="M39" s="45" t="s">
        <v>79</v>
      </c>
      <c r="N39" s="45">
        <v>0</v>
      </c>
      <c r="O39" s="45">
        <v>0</v>
      </c>
      <c r="P39" s="74" t="s">
        <v>150</v>
      </c>
      <c r="Q39" s="46"/>
    </row>
    <row r="40" spans="1:26">
      <c r="A40" s="45">
        <f t="shared" si="0"/>
        <v>1</v>
      </c>
      <c r="B40" s="45">
        <v>91500</v>
      </c>
      <c r="C40" s="45">
        <v>6</v>
      </c>
      <c r="D40" s="45">
        <f t="shared" si="1"/>
        <v>91500006</v>
      </c>
      <c r="E40" s="48" t="s">
        <v>214</v>
      </c>
      <c r="F40" s="45">
        <v>1</v>
      </c>
      <c r="G40" s="45">
        <v>0</v>
      </c>
      <c r="H40" s="45">
        <v>11002</v>
      </c>
      <c r="I40" s="56">
        <v>3</v>
      </c>
      <c r="J40" s="57">
        <v>0</v>
      </c>
      <c r="K40" s="57" t="s">
        <v>82</v>
      </c>
      <c r="L40" s="57" t="s">
        <v>83</v>
      </c>
      <c r="M40" s="57" t="s">
        <v>80</v>
      </c>
      <c r="N40" s="57">
        <v>0</v>
      </c>
      <c r="O40" s="57">
        <v>3</v>
      </c>
      <c r="P40" s="77" t="s">
        <v>150</v>
      </c>
      <c r="Q40" s="46"/>
    </row>
    <row r="41" spans="1:26">
      <c r="A41" s="45">
        <f t="shared" si="0"/>
        <v>1</v>
      </c>
      <c r="B41" s="45">
        <v>91500</v>
      </c>
      <c r="C41" s="45">
        <v>7</v>
      </c>
      <c r="D41" s="45">
        <f t="shared" si="1"/>
        <v>91500007</v>
      </c>
      <c r="E41" s="48" t="s">
        <v>215</v>
      </c>
      <c r="F41" s="45">
        <v>1</v>
      </c>
      <c r="G41" s="45">
        <v>0</v>
      </c>
      <c r="H41" s="45">
        <v>11003</v>
      </c>
      <c r="I41" s="66">
        <v>3</v>
      </c>
      <c r="J41" s="67">
        <v>0</v>
      </c>
      <c r="K41" s="67" t="s">
        <v>86</v>
      </c>
      <c r="L41" s="67" t="s">
        <v>84</v>
      </c>
      <c r="M41" s="67" t="s">
        <v>104</v>
      </c>
      <c r="N41" s="67">
        <v>0</v>
      </c>
      <c r="O41" s="67">
        <v>1</v>
      </c>
      <c r="P41" s="78" t="s">
        <v>150</v>
      </c>
      <c r="Q41" s="46"/>
      <c r="R41" s="47"/>
    </row>
    <row r="42" spans="1:26">
      <c r="A42" s="45">
        <f t="shared" si="0"/>
        <v>1</v>
      </c>
      <c r="B42" s="45">
        <v>91500</v>
      </c>
      <c r="C42" s="45">
        <v>8</v>
      </c>
      <c r="D42" s="45">
        <f t="shared" si="1"/>
        <v>91500008</v>
      </c>
      <c r="E42" s="91" t="s">
        <v>85</v>
      </c>
      <c r="F42" s="45">
        <v>1</v>
      </c>
      <c r="G42" s="45">
        <v>0</v>
      </c>
      <c r="H42" s="45">
        <v>11004</v>
      </c>
      <c r="I42" s="79">
        <v>3</v>
      </c>
      <c r="J42" s="80">
        <v>0</v>
      </c>
      <c r="K42" s="80" t="s">
        <v>82</v>
      </c>
      <c r="L42" s="80" t="s">
        <v>85</v>
      </c>
      <c r="M42" s="80" t="s">
        <v>86</v>
      </c>
      <c r="N42" s="80">
        <v>0</v>
      </c>
      <c r="O42" s="80">
        <v>3</v>
      </c>
      <c r="P42" s="74" t="s">
        <v>150</v>
      </c>
      <c r="Q42" s="46"/>
      <c r="R42" s="47"/>
    </row>
    <row r="43" spans="1:26">
      <c r="A43" s="45">
        <f t="shared" si="0"/>
        <v>1</v>
      </c>
      <c r="B43" s="45">
        <v>91500</v>
      </c>
      <c r="C43" s="45">
        <v>9</v>
      </c>
      <c r="D43" s="45">
        <f>B43*1000+C43</f>
        <v>91500009</v>
      </c>
      <c r="E43" s="48" t="s">
        <v>216</v>
      </c>
      <c r="F43" s="45">
        <v>1</v>
      </c>
      <c r="G43" s="45">
        <v>0</v>
      </c>
      <c r="H43" s="45">
        <v>12002</v>
      </c>
      <c r="I43" s="52">
        <v>3</v>
      </c>
      <c r="J43" s="53">
        <v>0</v>
      </c>
      <c r="K43" s="53" t="s">
        <v>87</v>
      </c>
      <c r="L43" s="53" t="s">
        <v>88</v>
      </c>
      <c r="M43" s="53" t="s">
        <v>98</v>
      </c>
      <c r="N43" s="53">
        <v>0</v>
      </c>
      <c r="O43" s="53">
        <v>1</v>
      </c>
      <c r="P43" s="54" t="s">
        <v>174</v>
      </c>
      <c r="Q43" s="92"/>
      <c r="R43" s="47"/>
    </row>
    <row r="44" spans="1:26">
      <c r="A44" s="45">
        <f t="shared" si="0"/>
        <v>1</v>
      </c>
      <c r="B44" s="45">
        <v>91500</v>
      </c>
      <c r="C44" s="45">
        <v>10</v>
      </c>
      <c r="D44" s="45">
        <f t="shared" si="1"/>
        <v>91500010</v>
      </c>
      <c r="E44" s="48" t="s">
        <v>217</v>
      </c>
      <c r="F44" s="45">
        <v>1</v>
      </c>
      <c r="G44" s="45">
        <v>0</v>
      </c>
      <c r="H44" s="45">
        <v>12003</v>
      </c>
      <c r="I44" s="55">
        <v>3</v>
      </c>
      <c r="J44" s="45">
        <v>0</v>
      </c>
      <c r="K44" s="45" t="s">
        <v>89</v>
      </c>
      <c r="L44" s="45" t="s">
        <v>90</v>
      </c>
      <c r="M44" s="45" t="s">
        <v>87</v>
      </c>
      <c r="N44" s="45">
        <v>0</v>
      </c>
      <c r="O44" s="45">
        <v>3</v>
      </c>
      <c r="P44" s="51" t="s">
        <v>150</v>
      </c>
      <c r="Q44" s="92"/>
      <c r="R44" s="47"/>
    </row>
    <row r="45" spans="1:26">
      <c r="A45" s="45">
        <f t="shared" si="0"/>
        <v>1</v>
      </c>
      <c r="B45" s="45">
        <v>91500</v>
      </c>
      <c r="C45" s="45">
        <v>11</v>
      </c>
      <c r="D45" s="45">
        <f t="shared" si="1"/>
        <v>91500011</v>
      </c>
      <c r="E45" s="48" t="s">
        <v>218</v>
      </c>
      <c r="F45" s="45">
        <v>1</v>
      </c>
      <c r="G45" s="45">
        <v>0</v>
      </c>
      <c r="H45" s="45">
        <v>12101</v>
      </c>
      <c r="I45" s="55">
        <v>3</v>
      </c>
      <c r="J45" s="45">
        <v>0</v>
      </c>
      <c r="K45" s="45" t="s">
        <v>89</v>
      </c>
      <c r="L45" s="45" t="s">
        <v>91</v>
      </c>
      <c r="M45" s="45" t="s">
        <v>92</v>
      </c>
      <c r="N45" s="45">
        <v>0</v>
      </c>
      <c r="O45" s="45">
        <v>0</v>
      </c>
      <c r="P45" s="51" t="s">
        <v>150</v>
      </c>
      <c r="Q45" s="46"/>
      <c r="R45" s="47"/>
    </row>
    <row r="46" spans="1:26">
      <c r="A46" s="45">
        <f t="shared" si="0"/>
        <v>1</v>
      </c>
      <c r="B46" s="45">
        <v>91500</v>
      </c>
      <c r="C46" s="45">
        <v>12</v>
      </c>
      <c r="D46" s="45">
        <f t="shared" si="1"/>
        <v>91500012</v>
      </c>
      <c r="E46" s="48" t="s">
        <v>219</v>
      </c>
      <c r="F46" s="45">
        <v>1</v>
      </c>
      <c r="G46" s="45">
        <v>0</v>
      </c>
      <c r="H46" s="45">
        <v>12201</v>
      </c>
      <c r="I46" s="55">
        <v>3</v>
      </c>
      <c r="J46" s="45">
        <v>0</v>
      </c>
      <c r="K46" s="45" t="s">
        <v>89</v>
      </c>
      <c r="L46" s="45" t="s">
        <v>91</v>
      </c>
      <c r="M46" s="45" t="s">
        <v>93</v>
      </c>
      <c r="N46" s="45">
        <v>0</v>
      </c>
      <c r="O46" s="45">
        <v>0</v>
      </c>
      <c r="P46" s="51" t="s">
        <v>150</v>
      </c>
      <c r="Q46" s="46"/>
      <c r="R46" s="47"/>
    </row>
    <row r="47" spans="1:26">
      <c r="A47" s="45">
        <f t="shared" si="0"/>
        <v>1</v>
      </c>
      <c r="B47" s="45">
        <v>91500</v>
      </c>
      <c r="C47" s="45">
        <v>13</v>
      </c>
      <c r="D47" s="45">
        <f t="shared" si="1"/>
        <v>91500013</v>
      </c>
      <c r="E47" s="48" t="s">
        <v>220</v>
      </c>
      <c r="F47" s="45">
        <v>1</v>
      </c>
      <c r="G47" s="45">
        <v>0</v>
      </c>
      <c r="H47" s="45">
        <v>12301</v>
      </c>
      <c r="I47" s="55">
        <v>3</v>
      </c>
      <c r="J47" s="45">
        <v>0</v>
      </c>
      <c r="K47" s="45" t="s">
        <v>89</v>
      </c>
      <c r="L47" s="45" t="s">
        <v>91</v>
      </c>
      <c r="M47" s="45" t="s">
        <v>94</v>
      </c>
      <c r="N47" s="45">
        <v>0</v>
      </c>
      <c r="O47" s="45">
        <v>0</v>
      </c>
      <c r="P47" s="51" t="s">
        <v>150</v>
      </c>
      <c r="Q47" s="46"/>
      <c r="R47" s="47"/>
    </row>
    <row r="48" spans="1:26">
      <c r="A48" s="45">
        <f t="shared" si="0"/>
        <v>1</v>
      </c>
      <c r="B48" s="45">
        <v>91500</v>
      </c>
      <c r="C48" s="45">
        <v>14</v>
      </c>
      <c r="D48" s="45">
        <f t="shared" si="1"/>
        <v>91500014</v>
      </c>
      <c r="E48" s="48" t="s">
        <v>221</v>
      </c>
      <c r="F48" s="45">
        <v>1</v>
      </c>
      <c r="G48" s="45">
        <v>0</v>
      </c>
      <c r="H48" s="45">
        <v>12001</v>
      </c>
      <c r="I48" s="56">
        <v>3</v>
      </c>
      <c r="J48" s="57">
        <v>0</v>
      </c>
      <c r="K48" s="57" t="s">
        <v>82</v>
      </c>
      <c r="L48" s="57" t="s">
        <v>95</v>
      </c>
      <c r="M48" s="57" t="s">
        <v>89</v>
      </c>
      <c r="N48" s="57">
        <v>0</v>
      </c>
      <c r="O48" s="57">
        <v>3</v>
      </c>
      <c r="P48" s="58" t="s">
        <v>150</v>
      </c>
      <c r="Q48" s="46"/>
      <c r="R48" s="47"/>
    </row>
    <row r="49" spans="1:26">
      <c r="A49" s="45">
        <f t="shared" si="0"/>
        <v>1</v>
      </c>
      <c r="B49" s="45">
        <v>91500</v>
      </c>
      <c r="C49" s="45">
        <v>15</v>
      </c>
      <c r="D49" s="45">
        <f t="shared" si="1"/>
        <v>91500015</v>
      </c>
      <c r="E49" s="48" t="s">
        <v>222</v>
      </c>
      <c r="F49" s="45">
        <v>1</v>
      </c>
      <c r="G49" s="45">
        <v>0</v>
      </c>
      <c r="H49" s="45">
        <v>13001</v>
      </c>
      <c r="I49" s="49">
        <v>0</v>
      </c>
      <c r="J49" s="50">
        <v>0</v>
      </c>
      <c r="K49" s="50" t="s">
        <v>96</v>
      </c>
      <c r="L49" s="50" t="s">
        <v>97</v>
      </c>
      <c r="M49" s="50" t="s">
        <v>82</v>
      </c>
      <c r="N49" s="50">
        <v>0</v>
      </c>
      <c r="O49" s="50">
        <v>3</v>
      </c>
      <c r="P49" s="74" t="s">
        <v>150</v>
      </c>
      <c r="Q49" s="46"/>
      <c r="R49" s="47"/>
    </row>
    <row r="50" spans="1:26">
      <c r="A50" s="45">
        <f t="shared" si="0"/>
        <v>0</v>
      </c>
      <c r="D50" s="45">
        <f t="shared" si="1"/>
        <v>0</v>
      </c>
      <c r="I50" s="125" t="s">
        <v>223</v>
      </c>
      <c r="J50" s="126"/>
      <c r="K50" s="126"/>
      <c r="L50" s="126"/>
      <c r="M50" s="126"/>
      <c r="N50" s="126"/>
      <c r="O50" s="126"/>
      <c r="P50" s="126"/>
      <c r="Q50" s="126"/>
      <c r="R50" s="126"/>
      <c r="S50" s="126"/>
      <c r="T50" s="126"/>
      <c r="U50" s="126"/>
      <c r="V50" s="126"/>
      <c r="W50" s="126"/>
      <c r="X50" s="126"/>
      <c r="Y50" s="126"/>
      <c r="Z50" s="127"/>
    </row>
    <row r="51" spans="1:26">
      <c r="A51" s="45">
        <f t="shared" si="0"/>
        <v>0</v>
      </c>
      <c r="D51" s="45">
        <f t="shared" si="1"/>
        <v>0</v>
      </c>
      <c r="I51" s="130" t="s">
        <v>224</v>
      </c>
      <c r="J51" s="130"/>
      <c r="K51" s="130"/>
      <c r="L51" s="130"/>
      <c r="M51" s="130"/>
      <c r="N51" s="130"/>
      <c r="O51" s="130"/>
      <c r="P51" s="130"/>
      <c r="Q51" s="46"/>
      <c r="R51" s="47"/>
    </row>
    <row r="52" spans="1:26">
      <c r="A52" s="45">
        <v>2</v>
      </c>
      <c r="B52" s="45">
        <v>91100</v>
      </c>
      <c r="C52" s="45">
        <v>1</v>
      </c>
      <c r="D52" s="45">
        <f t="shared" si="1"/>
        <v>91100001</v>
      </c>
      <c r="E52" s="48" t="s">
        <v>225</v>
      </c>
      <c r="F52" s="45">
        <v>1</v>
      </c>
      <c r="G52" s="45">
        <v>1</v>
      </c>
      <c r="H52" s="45">
        <v>21101</v>
      </c>
      <c r="I52" s="81">
        <v>1</v>
      </c>
      <c r="J52" s="82">
        <v>0</v>
      </c>
      <c r="K52" s="82" t="s">
        <v>98</v>
      </c>
      <c r="L52" s="82" t="s">
        <v>99</v>
      </c>
      <c r="M52" s="82" t="s">
        <v>100</v>
      </c>
      <c r="N52" s="82">
        <v>0</v>
      </c>
      <c r="O52" s="82">
        <v>0</v>
      </c>
      <c r="P52" s="63" t="s">
        <v>174</v>
      </c>
      <c r="Q52" s="61"/>
      <c r="R52" s="62">
        <v>21501</v>
      </c>
      <c r="S52" s="82">
        <v>0</v>
      </c>
      <c r="T52" s="82">
        <v>0</v>
      </c>
      <c r="U52" s="82" t="s">
        <v>59</v>
      </c>
      <c r="V52" s="82" t="s">
        <v>110</v>
      </c>
      <c r="W52" s="82" t="s">
        <v>111</v>
      </c>
      <c r="X52" s="82">
        <v>0</v>
      </c>
      <c r="Y52" s="82">
        <v>2</v>
      </c>
      <c r="Z52" s="84" t="s">
        <v>226</v>
      </c>
    </row>
    <row r="53" spans="1:26">
      <c r="A53" s="45">
        <v>2</v>
      </c>
      <c r="B53" s="45">
        <v>91100</v>
      </c>
      <c r="C53" s="45">
        <v>2</v>
      </c>
      <c r="D53" s="45">
        <f t="shared" si="1"/>
        <v>91100002</v>
      </c>
      <c r="E53" s="48" t="s">
        <v>227</v>
      </c>
      <c r="F53" s="45">
        <v>1</v>
      </c>
      <c r="G53" s="45">
        <v>1</v>
      </c>
      <c r="H53" s="45">
        <v>21201</v>
      </c>
      <c r="I53" s="81">
        <v>1</v>
      </c>
      <c r="J53" s="82">
        <v>0</v>
      </c>
      <c r="K53" s="82" t="s">
        <v>228</v>
      </c>
      <c r="L53" s="82" t="s">
        <v>229</v>
      </c>
      <c r="M53" s="82" t="s">
        <v>230</v>
      </c>
      <c r="N53" s="82">
        <v>0</v>
      </c>
      <c r="O53" s="82">
        <v>0</v>
      </c>
      <c r="P53" s="64" t="s">
        <v>150</v>
      </c>
      <c r="Q53" s="61"/>
      <c r="R53" s="62">
        <v>21601</v>
      </c>
      <c r="S53" s="82">
        <v>0</v>
      </c>
      <c r="T53" s="82">
        <v>0</v>
      </c>
      <c r="U53" s="82" t="s">
        <v>231</v>
      </c>
      <c r="V53" s="82" t="s">
        <v>232</v>
      </c>
      <c r="W53" s="82" t="s">
        <v>233</v>
      </c>
      <c r="X53" s="82">
        <v>0</v>
      </c>
      <c r="Y53" s="82">
        <v>2</v>
      </c>
      <c r="Z53" s="84" t="s">
        <v>226</v>
      </c>
    </row>
    <row r="54" spans="1:26">
      <c r="A54" s="45">
        <v>2</v>
      </c>
      <c r="B54" s="45">
        <v>91100</v>
      </c>
      <c r="C54" s="45">
        <v>3</v>
      </c>
      <c r="D54" s="45">
        <f t="shared" si="1"/>
        <v>91100003</v>
      </c>
      <c r="E54" s="48" t="s">
        <v>234</v>
      </c>
      <c r="F54" s="45">
        <v>1</v>
      </c>
      <c r="G54" s="45">
        <v>1</v>
      </c>
      <c r="H54" s="45">
        <v>21301</v>
      </c>
      <c r="I54" s="81">
        <v>1</v>
      </c>
      <c r="J54" s="82">
        <v>0</v>
      </c>
      <c r="K54" s="82" t="s">
        <v>235</v>
      </c>
      <c r="L54" s="82" t="s">
        <v>234</v>
      </c>
      <c r="M54" s="82" t="s">
        <v>236</v>
      </c>
      <c r="N54" s="82">
        <v>0</v>
      </c>
      <c r="O54" s="82">
        <v>0</v>
      </c>
      <c r="P54" s="64" t="s">
        <v>150</v>
      </c>
      <c r="Q54" s="61"/>
      <c r="R54" s="62">
        <v>21701</v>
      </c>
      <c r="S54" s="82">
        <v>0</v>
      </c>
      <c r="T54" s="82">
        <v>0</v>
      </c>
      <c r="U54" s="82" t="s">
        <v>231</v>
      </c>
      <c r="V54" s="82" t="s">
        <v>237</v>
      </c>
      <c r="W54" s="82" t="s">
        <v>238</v>
      </c>
      <c r="X54" s="82">
        <v>0</v>
      </c>
      <c r="Y54" s="82">
        <v>2</v>
      </c>
      <c r="Z54" s="84" t="s">
        <v>226</v>
      </c>
    </row>
    <row r="55" spans="1:26">
      <c r="A55" s="45">
        <f t="shared" si="0"/>
        <v>0</v>
      </c>
      <c r="D55" s="45">
        <f t="shared" si="1"/>
        <v>0</v>
      </c>
      <c r="I55" s="122" t="s">
        <v>239</v>
      </c>
      <c r="J55" s="123"/>
      <c r="K55" s="123"/>
      <c r="L55" s="123"/>
      <c r="M55" s="123"/>
      <c r="N55" s="123"/>
      <c r="O55" s="123"/>
      <c r="P55" s="124"/>
      <c r="Q55" s="46"/>
      <c r="R55" s="47"/>
    </row>
    <row r="56" spans="1:26">
      <c r="A56" s="45">
        <v>2</v>
      </c>
      <c r="B56" s="45">
        <v>0</v>
      </c>
      <c r="C56" s="45">
        <v>1</v>
      </c>
      <c r="D56" s="45">
        <f t="shared" si="1"/>
        <v>1</v>
      </c>
      <c r="E56" s="48" t="s">
        <v>240</v>
      </c>
      <c r="F56" s="45">
        <v>1</v>
      </c>
      <c r="G56" s="45">
        <v>1</v>
      </c>
      <c r="H56" s="45">
        <v>22501</v>
      </c>
      <c r="I56" s="70">
        <v>3</v>
      </c>
      <c r="J56" s="71">
        <v>0</v>
      </c>
      <c r="K56" s="71" t="s">
        <v>101</v>
      </c>
      <c r="L56" s="71" t="s">
        <v>102</v>
      </c>
      <c r="M56" s="71" t="s">
        <v>76</v>
      </c>
      <c r="N56" s="71">
        <v>0</v>
      </c>
      <c r="O56" s="71">
        <v>0</v>
      </c>
      <c r="P56" s="71" t="s">
        <v>184</v>
      </c>
      <c r="Q56" s="93"/>
      <c r="R56" s="94">
        <v>22511</v>
      </c>
      <c r="S56" s="71">
        <v>0</v>
      </c>
      <c r="T56" s="71">
        <v>0</v>
      </c>
      <c r="U56" s="71" t="s">
        <v>59</v>
      </c>
      <c r="V56" s="71" t="s">
        <v>112</v>
      </c>
      <c r="W56" s="71" t="s">
        <v>113</v>
      </c>
      <c r="X56" s="71">
        <v>0</v>
      </c>
      <c r="Y56" s="71">
        <v>2</v>
      </c>
      <c r="Z56" s="78" t="s">
        <v>150</v>
      </c>
    </row>
    <row r="57" spans="1:26">
      <c r="A57" s="45">
        <v>2</v>
      </c>
      <c r="B57" s="45">
        <v>0</v>
      </c>
      <c r="C57" s="45">
        <v>2</v>
      </c>
      <c r="D57" s="45">
        <f t="shared" si="1"/>
        <v>2</v>
      </c>
      <c r="E57" s="48" t="s">
        <v>241</v>
      </c>
      <c r="F57" s="45">
        <v>1</v>
      </c>
      <c r="G57" s="45">
        <v>1</v>
      </c>
      <c r="H57" s="45">
        <v>22601</v>
      </c>
      <c r="I57" s="52">
        <v>3</v>
      </c>
      <c r="J57" s="53">
        <v>0</v>
      </c>
      <c r="K57" s="53" t="s">
        <v>242</v>
      </c>
      <c r="L57" s="53" t="s">
        <v>243</v>
      </c>
      <c r="M57" s="53" t="s">
        <v>194</v>
      </c>
      <c r="N57" s="53">
        <v>0</v>
      </c>
      <c r="O57" s="53">
        <v>0</v>
      </c>
      <c r="P57" s="53" t="s">
        <v>184</v>
      </c>
      <c r="Q57" s="93"/>
      <c r="R57" s="94">
        <v>22611</v>
      </c>
      <c r="S57" s="53">
        <v>0</v>
      </c>
      <c r="T57" s="53">
        <v>0</v>
      </c>
      <c r="U57" s="53" t="s">
        <v>231</v>
      </c>
      <c r="V57" s="53" t="s">
        <v>244</v>
      </c>
      <c r="W57" s="53" t="s">
        <v>245</v>
      </c>
      <c r="X57" s="53">
        <v>0</v>
      </c>
      <c r="Y57" s="53">
        <v>2</v>
      </c>
      <c r="Z57" s="54" t="s">
        <v>226</v>
      </c>
    </row>
    <row r="58" spans="1:26">
      <c r="A58" s="45">
        <v>2</v>
      </c>
      <c r="B58" s="45">
        <v>0</v>
      </c>
      <c r="C58" s="45">
        <v>3</v>
      </c>
      <c r="D58" s="45">
        <f t="shared" si="1"/>
        <v>3</v>
      </c>
      <c r="E58" s="48" t="s">
        <v>246</v>
      </c>
      <c r="F58" s="45">
        <v>1</v>
      </c>
      <c r="G58" s="45">
        <v>1</v>
      </c>
      <c r="H58" s="45">
        <v>22701</v>
      </c>
      <c r="I58" s="52">
        <v>3</v>
      </c>
      <c r="J58" s="53">
        <v>0</v>
      </c>
      <c r="K58" s="53" t="s">
        <v>247</v>
      </c>
      <c r="L58" s="53" t="s">
        <v>248</v>
      </c>
      <c r="M58" s="53" t="s">
        <v>196</v>
      </c>
      <c r="N58" s="53">
        <v>0</v>
      </c>
      <c r="O58" s="53">
        <v>0</v>
      </c>
      <c r="P58" s="53" t="s">
        <v>184</v>
      </c>
      <c r="Q58" s="93"/>
      <c r="R58" s="94">
        <v>22711</v>
      </c>
      <c r="S58" s="53">
        <v>0</v>
      </c>
      <c r="T58" s="53">
        <v>0</v>
      </c>
      <c r="U58" s="53" t="s">
        <v>231</v>
      </c>
      <c r="V58" s="53" t="s">
        <v>249</v>
      </c>
      <c r="W58" s="53" t="s">
        <v>250</v>
      </c>
      <c r="X58" s="53">
        <v>0</v>
      </c>
      <c r="Y58" s="53">
        <v>2</v>
      </c>
      <c r="Z58" s="54" t="s">
        <v>226</v>
      </c>
    </row>
    <row r="59" spans="1:26">
      <c r="A59" s="45">
        <v>2</v>
      </c>
      <c r="B59" s="45">
        <v>90000</v>
      </c>
      <c r="C59" s="45">
        <v>1</v>
      </c>
      <c r="D59" s="45">
        <f t="shared" si="1"/>
        <v>90000001</v>
      </c>
      <c r="E59" s="48" t="s">
        <v>251</v>
      </c>
      <c r="F59" s="45">
        <v>1</v>
      </c>
      <c r="G59" s="45">
        <v>1</v>
      </c>
      <c r="H59" s="45">
        <v>22111</v>
      </c>
      <c r="I59" s="52">
        <v>1</v>
      </c>
      <c r="J59" s="53">
        <v>0</v>
      </c>
      <c r="K59" s="53" t="s">
        <v>252</v>
      </c>
      <c r="L59" s="53" t="s">
        <v>253</v>
      </c>
      <c r="M59" s="53" t="s">
        <v>187</v>
      </c>
      <c r="N59" s="53">
        <v>0</v>
      </c>
      <c r="O59" s="53">
        <v>0</v>
      </c>
      <c r="P59" s="53" t="s">
        <v>150</v>
      </c>
      <c r="Q59" s="93"/>
      <c r="R59" s="94">
        <v>22211</v>
      </c>
      <c r="S59" s="53">
        <v>0</v>
      </c>
      <c r="T59" s="53">
        <v>0</v>
      </c>
      <c r="U59" s="53" t="s">
        <v>231</v>
      </c>
      <c r="V59" s="53" t="s">
        <v>254</v>
      </c>
      <c r="W59" s="53" t="s">
        <v>255</v>
      </c>
      <c r="X59" s="53">
        <v>0</v>
      </c>
      <c r="Y59" s="53">
        <v>2</v>
      </c>
      <c r="Z59" s="54" t="s">
        <v>184</v>
      </c>
    </row>
    <row r="60" spans="1:26">
      <c r="A60" s="45">
        <v>2</v>
      </c>
      <c r="B60" s="45">
        <v>90000</v>
      </c>
      <c r="C60" s="45">
        <v>2</v>
      </c>
      <c r="D60" s="45">
        <f t="shared" si="1"/>
        <v>90000002</v>
      </c>
      <c r="E60" s="48" t="s">
        <v>256</v>
      </c>
      <c r="F60" s="45">
        <v>1</v>
      </c>
      <c r="G60" s="45">
        <v>1</v>
      </c>
      <c r="H60" s="45">
        <v>22121</v>
      </c>
      <c r="I60" s="55">
        <v>1</v>
      </c>
      <c r="J60" s="45">
        <v>0</v>
      </c>
      <c r="K60" s="45" t="s">
        <v>257</v>
      </c>
      <c r="L60" s="45" t="s">
        <v>258</v>
      </c>
      <c r="M60" s="45" t="s">
        <v>187</v>
      </c>
      <c r="N60" s="45">
        <v>0</v>
      </c>
      <c r="O60" s="45">
        <v>0</v>
      </c>
      <c r="P60" s="45" t="s">
        <v>226</v>
      </c>
      <c r="Q60" s="46"/>
      <c r="R60" s="47">
        <v>22221</v>
      </c>
      <c r="S60" s="45">
        <v>0</v>
      </c>
      <c r="T60" s="45">
        <v>0</v>
      </c>
      <c r="U60" s="45" t="s">
        <v>231</v>
      </c>
      <c r="V60" s="45" t="s">
        <v>259</v>
      </c>
      <c r="W60" s="45" t="s">
        <v>260</v>
      </c>
      <c r="X60" s="45">
        <v>0</v>
      </c>
      <c r="Y60" s="45">
        <v>2</v>
      </c>
      <c r="Z60" s="51" t="s">
        <v>184</v>
      </c>
    </row>
    <row r="61" spans="1:26">
      <c r="A61" s="45">
        <v>2</v>
      </c>
      <c r="B61" s="45">
        <v>90000</v>
      </c>
      <c r="C61" s="45">
        <v>3</v>
      </c>
      <c r="D61" s="45">
        <f t="shared" si="1"/>
        <v>90000003</v>
      </c>
      <c r="E61" s="48" t="s">
        <v>261</v>
      </c>
      <c r="F61" s="45">
        <v>1</v>
      </c>
      <c r="G61" s="45">
        <v>1</v>
      </c>
      <c r="H61" s="45">
        <v>22131</v>
      </c>
      <c r="I61" s="56">
        <v>1</v>
      </c>
      <c r="J61" s="57">
        <v>0</v>
      </c>
      <c r="K61" s="57" t="s">
        <v>262</v>
      </c>
      <c r="L61" s="57" t="s">
        <v>263</v>
      </c>
      <c r="M61" s="57" t="s">
        <v>187</v>
      </c>
      <c r="N61" s="57">
        <v>0</v>
      </c>
      <c r="O61" s="57">
        <v>0</v>
      </c>
      <c r="P61" s="57" t="s">
        <v>150</v>
      </c>
      <c r="Q61" s="95"/>
      <c r="R61" s="96">
        <v>22231</v>
      </c>
      <c r="S61" s="57">
        <v>0</v>
      </c>
      <c r="T61" s="57">
        <v>0</v>
      </c>
      <c r="U61" s="57" t="s">
        <v>231</v>
      </c>
      <c r="V61" s="57" t="s">
        <v>264</v>
      </c>
      <c r="W61" s="57" t="s">
        <v>265</v>
      </c>
      <c r="X61" s="57">
        <v>0</v>
      </c>
      <c r="Y61" s="57">
        <v>2</v>
      </c>
      <c r="Z61" s="58" t="s">
        <v>184</v>
      </c>
    </row>
    <row r="62" spans="1:26">
      <c r="A62" s="45">
        <f t="shared" si="0"/>
        <v>0</v>
      </c>
      <c r="D62" s="45">
        <f t="shared" si="1"/>
        <v>0</v>
      </c>
      <c r="I62" s="132" t="s">
        <v>266</v>
      </c>
      <c r="J62" s="130"/>
      <c r="K62" s="130"/>
      <c r="L62" s="130"/>
      <c r="M62" s="130"/>
      <c r="N62" s="130"/>
      <c r="O62" s="130"/>
      <c r="P62" s="133"/>
      <c r="Q62" s="46"/>
      <c r="R62" s="47"/>
    </row>
    <row r="63" spans="1:26">
      <c r="A63" s="45">
        <v>2</v>
      </c>
      <c r="B63" s="45">
        <v>91100</v>
      </c>
      <c r="C63" s="45">
        <v>101</v>
      </c>
      <c r="D63" s="45">
        <f t="shared" si="1"/>
        <v>91100101</v>
      </c>
      <c r="E63" s="48" t="s">
        <v>267</v>
      </c>
      <c r="F63" s="45">
        <v>1</v>
      </c>
      <c r="G63" s="45">
        <v>1</v>
      </c>
      <c r="H63" s="45">
        <v>23101</v>
      </c>
      <c r="I63" s="81">
        <v>0</v>
      </c>
      <c r="J63" s="82">
        <v>0</v>
      </c>
      <c r="K63" s="82" t="s">
        <v>59</v>
      </c>
      <c r="L63" s="82" t="s">
        <v>103</v>
      </c>
      <c r="M63" s="82" t="s">
        <v>68</v>
      </c>
      <c r="N63" s="82">
        <v>0</v>
      </c>
      <c r="O63" s="82">
        <v>1</v>
      </c>
      <c r="P63" s="63" t="s">
        <v>150</v>
      </c>
      <c r="Q63" s="61"/>
      <c r="R63" s="62">
        <v>23201</v>
      </c>
      <c r="S63" s="82">
        <v>0</v>
      </c>
      <c r="T63" s="82">
        <v>0</v>
      </c>
      <c r="U63" s="82" t="s">
        <v>158</v>
      </c>
      <c r="V63" s="82" t="s">
        <v>268</v>
      </c>
      <c r="W63" s="82" t="s">
        <v>59</v>
      </c>
      <c r="X63" s="82">
        <v>0</v>
      </c>
      <c r="Y63" s="82">
        <v>0</v>
      </c>
      <c r="Z63" s="84" t="s">
        <v>156</v>
      </c>
    </row>
    <row r="64" spans="1:26">
      <c r="A64" s="45">
        <v>2</v>
      </c>
      <c r="B64" s="45">
        <v>91100</v>
      </c>
      <c r="C64" s="45">
        <v>102</v>
      </c>
      <c r="D64" s="45">
        <f t="shared" si="1"/>
        <v>91100102</v>
      </c>
      <c r="E64" s="48" t="s">
        <v>269</v>
      </c>
      <c r="F64" s="45">
        <v>1</v>
      </c>
      <c r="G64" s="45">
        <v>1</v>
      </c>
      <c r="H64" s="45">
        <v>23102</v>
      </c>
      <c r="I64" s="81">
        <v>0</v>
      </c>
      <c r="J64" s="82">
        <v>0</v>
      </c>
      <c r="K64" s="82" t="s">
        <v>167</v>
      </c>
      <c r="L64" s="82" t="s">
        <v>270</v>
      </c>
      <c r="M64" s="82" t="s">
        <v>271</v>
      </c>
      <c r="N64" s="82">
        <v>0</v>
      </c>
      <c r="O64" s="82">
        <v>1</v>
      </c>
      <c r="P64" s="63" t="s">
        <v>150</v>
      </c>
      <c r="Q64" s="61"/>
      <c r="R64" s="62">
        <v>23202</v>
      </c>
      <c r="S64" s="82">
        <v>0</v>
      </c>
      <c r="T64" s="82">
        <v>0</v>
      </c>
      <c r="U64" s="82" t="s">
        <v>155</v>
      </c>
      <c r="V64" s="82" t="s">
        <v>272</v>
      </c>
      <c r="W64" s="82" t="s">
        <v>167</v>
      </c>
      <c r="X64" s="82">
        <v>0</v>
      </c>
      <c r="Y64" s="82">
        <v>0</v>
      </c>
      <c r="Z64" s="84" t="s">
        <v>156</v>
      </c>
    </row>
    <row r="65" spans="1:47">
      <c r="A65" s="45">
        <v>2</v>
      </c>
      <c r="B65" s="45">
        <v>91100</v>
      </c>
      <c r="C65" s="45">
        <v>103</v>
      </c>
      <c r="D65" s="45">
        <f t="shared" si="1"/>
        <v>91100103</v>
      </c>
      <c r="E65" s="48" t="s">
        <v>273</v>
      </c>
      <c r="F65" s="45">
        <v>1</v>
      </c>
      <c r="G65" s="45">
        <v>1</v>
      </c>
      <c r="H65" s="45">
        <v>23501</v>
      </c>
      <c r="I65" s="65">
        <v>1</v>
      </c>
      <c r="J65" s="63">
        <v>0</v>
      </c>
      <c r="K65" s="63" t="s">
        <v>104</v>
      </c>
      <c r="L65" s="63" t="s">
        <v>105</v>
      </c>
      <c r="M65" s="63" t="s">
        <v>75</v>
      </c>
      <c r="N65" s="63">
        <v>0</v>
      </c>
      <c r="O65" s="63">
        <v>0</v>
      </c>
      <c r="P65" s="63" t="s">
        <v>150</v>
      </c>
      <c r="Q65" s="61"/>
      <c r="R65" s="62">
        <v>23601</v>
      </c>
      <c r="S65" s="82">
        <v>0</v>
      </c>
      <c r="T65" s="82">
        <v>0</v>
      </c>
      <c r="U65" s="82" t="s">
        <v>59</v>
      </c>
      <c r="V65" s="82" t="s">
        <v>114</v>
      </c>
      <c r="W65" s="82" t="s">
        <v>115</v>
      </c>
      <c r="X65" s="82">
        <v>0</v>
      </c>
      <c r="Y65" s="82">
        <v>2</v>
      </c>
      <c r="Z65" s="64" t="s">
        <v>156</v>
      </c>
    </row>
    <row r="66" spans="1:47">
      <c r="A66" s="45">
        <v>2</v>
      </c>
      <c r="B66" s="45">
        <v>91100</v>
      </c>
      <c r="C66" s="45">
        <v>104</v>
      </c>
      <c r="D66" s="45">
        <f t="shared" si="1"/>
        <v>91100104</v>
      </c>
      <c r="E66" s="48" t="s">
        <v>274</v>
      </c>
      <c r="F66" s="45">
        <v>1</v>
      </c>
      <c r="G66" s="45">
        <v>1</v>
      </c>
      <c r="H66" s="45">
        <v>23502</v>
      </c>
      <c r="I66" s="52">
        <v>1</v>
      </c>
      <c r="J66" s="53">
        <v>0</v>
      </c>
      <c r="K66" s="53" t="s">
        <v>68</v>
      </c>
      <c r="L66" s="53" t="s">
        <v>106</v>
      </c>
      <c r="M66" s="53" t="s">
        <v>73</v>
      </c>
      <c r="N66" s="53">
        <v>0</v>
      </c>
      <c r="O66" s="53">
        <v>0</v>
      </c>
      <c r="P66" s="71" t="s">
        <v>150</v>
      </c>
      <c r="Q66" s="93"/>
      <c r="R66" s="94">
        <v>23602</v>
      </c>
      <c r="S66" s="67">
        <v>0</v>
      </c>
      <c r="T66" s="67">
        <v>0</v>
      </c>
      <c r="U66" s="67" t="s">
        <v>59</v>
      </c>
      <c r="V66" s="67" t="s">
        <v>275</v>
      </c>
      <c r="W66" s="67" t="s">
        <v>158</v>
      </c>
      <c r="X66" s="67">
        <v>0</v>
      </c>
      <c r="Y66" s="67">
        <v>0</v>
      </c>
      <c r="Z66" s="78" t="s">
        <v>156</v>
      </c>
    </row>
    <row r="67" spans="1:47">
      <c r="A67" s="45">
        <v>2</v>
      </c>
      <c r="B67" s="45">
        <v>91100</v>
      </c>
      <c r="C67" s="45">
        <v>105</v>
      </c>
      <c r="D67" s="45">
        <f t="shared" si="1"/>
        <v>91100105</v>
      </c>
      <c r="E67" s="48" t="s">
        <v>276</v>
      </c>
      <c r="F67" s="45">
        <v>1</v>
      </c>
      <c r="G67" s="45">
        <v>1</v>
      </c>
      <c r="H67" s="45">
        <v>23503</v>
      </c>
      <c r="I67" s="56">
        <v>1</v>
      </c>
      <c r="J67" s="57">
        <v>0</v>
      </c>
      <c r="K67" s="57" t="s">
        <v>67</v>
      </c>
      <c r="L67" s="57" t="s">
        <v>107</v>
      </c>
      <c r="M67" s="57" t="s">
        <v>73</v>
      </c>
      <c r="N67" s="57">
        <v>0</v>
      </c>
      <c r="O67" s="57">
        <v>0</v>
      </c>
      <c r="P67" s="60" t="s">
        <v>150</v>
      </c>
      <c r="Q67" s="95"/>
      <c r="R67" s="96">
        <v>23603</v>
      </c>
      <c r="S67" s="57">
        <v>0</v>
      </c>
      <c r="T67" s="57">
        <v>0</v>
      </c>
      <c r="U67" s="57" t="s">
        <v>59</v>
      </c>
      <c r="V67" s="57" t="s">
        <v>277</v>
      </c>
      <c r="W67" s="57" t="s">
        <v>155</v>
      </c>
      <c r="X67" s="57">
        <v>0</v>
      </c>
      <c r="Y67" s="57">
        <v>0</v>
      </c>
      <c r="Z67" s="58" t="s">
        <v>57</v>
      </c>
    </row>
    <row r="68" spans="1:47">
      <c r="A68" s="45">
        <f t="shared" si="0"/>
        <v>0</v>
      </c>
      <c r="D68" s="45">
        <f t="shared" si="1"/>
        <v>0</v>
      </c>
      <c r="Q68" s="46"/>
      <c r="R68" s="47"/>
    </row>
    <row r="69" spans="1:47">
      <c r="A69" s="45">
        <f t="shared" si="0"/>
        <v>0</v>
      </c>
      <c r="D69" s="45">
        <f t="shared" ref="D69:D116" si="2">B69*1000+C69</f>
        <v>0</v>
      </c>
      <c r="I69" s="125" t="s">
        <v>278</v>
      </c>
      <c r="J69" s="126"/>
      <c r="K69" s="126"/>
      <c r="L69" s="126"/>
      <c r="M69" s="126"/>
      <c r="N69" s="126"/>
      <c r="O69" s="126"/>
      <c r="P69" s="126"/>
      <c r="Q69" s="126"/>
      <c r="R69" s="126"/>
      <c r="S69" s="126"/>
      <c r="T69" s="126"/>
      <c r="U69" s="126"/>
      <c r="V69" s="126"/>
      <c r="W69" s="126"/>
      <c r="X69" s="126"/>
      <c r="Y69" s="126"/>
      <c r="Z69" s="127"/>
    </row>
    <row r="70" spans="1:47">
      <c r="A70" s="45">
        <v>2</v>
      </c>
      <c r="B70" s="45">
        <v>91000</v>
      </c>
      <c r="C70" s="45">
        <v>201</v>
      </c>
      <c r="D70" s="45">
        <f t="shared" si="2"/>
        <v>91000201</v>
      </c>
      <c r="E70" s="48" t="s">
        <v>279</v>
      </c>
      <c r="F70" s="45">
        <v>1</v>
      </c>
      <c r="G70" s="45">
        <v>1</v>
      </c>
      <c r="H70" s="45">
        <v>40001</v>
      </c>
      <c r="I70" s="65">
        <v>0</v>
      </c>
      <c r="J70" s="63">
        <v>0</v>
      </c>
      <c r="K70" s="63" t="s">
        <v>116</v>
      </c>
      <c r="L70" s="63" t="s">
        <v>117</v>
      </c>
      <c r="M70" s="63" t="s">
        <v>59</v>
      </c>
      <c r="N70" s="63">
        <v>0</v>
      </c>
      <c r="O70" s="63">
        <v>0</v>
      </c>
      <c r="P70" s="63" t="s">
        <v>280</v>
      </c>
      <c r="Q70" s="61"/>
      <c r="R70" s="62">
        <v>40002</v>
      </c>
      <c r="S70" s="63">
        <v>0</v>
      </c>
      <c r="T70" s="63">
        <v>0</v>
      </c>
      <c r="U70" s="63" t="s">
        <v>59</v>
      </c>
      <c r="V70" s="63" t="s">
        <v>119</v>
      </c>
      <c r="W70" s="63" t="s">
        <v>120</v>
      </c>
      <c r="X70" s="63">
        <v>0</v>
      </c>
      <c r="Y70" s="63">
        <v>1</v>
      </c>
      <c r="Z70" s="64" t="s">
        <v>156</v>
      </c>
    </row>
    <row r="71" spans="1:47">
      <c r="A71" s="45">
        <v>2</v>
      </c>
      <c r="B71" s="45">
        <v>91000</v>
      </c>
      <c r="C71" s="45">
        <v>202</v>
      </c>
      <c r="D71" s="45">
        <f t="shared" si="2"/>
        <v>91000202</v>
      </c>
      <c r="E71" s="48" t="s">
        <v>281</v>
      </c>
      <c r="F71" s="45">
        <v>1</v>
      </c>
      <c r="G71" s="45">
        <v>1</v>
      </c>
      <c r="H71" s="45">
        <v>40003</v>
      </c>
      <c r="I71" s="65">
        <v>0</v>
      </c>
      <c r="J71" s="63">
        <v>0</v>
      </c>
      <c r="K71" s="63" t="s">
        <v>167</v>
      </c>
      <c r="L71" s="63" t="s">
        <v>281</v>
      </c>
      <c r="M71" s="63" t="s">
        <v>282</v>
      </c>
      <c r="N71" s="63">
        <v>0</v>
      </c>
      <c r="O71" s="63">
        <v>0</v>
      </c>
      <c r="P71" s="63" t="s">
        <v>188</v>
      </c>
      <c r="Q71" s="61"/>
      <c r="R71" s="62">
        <v>40004</v>
      </c>
      <c r="S71" s="63">
        <v>1</v>
      </c>
      <c r="T71" s="63">
        <v>0</v>
      </c>
      <c r="U71" s="63" t="s">
        <v>283</v>
      </c>
      <c r="V71" s="63" t="s">
        <v>281</v>
      </c>
      <c r="W71" s="63" t="s">
        <v>231</v>
      </c>
      <c r="X71" s="63">
        <v>0</v>
      </c>
      <c r="Y71" s="63">
        <v>0</v>
      </c>
      <c r="Z71" s="64" t="s">
        <v>156</v>
      </c>
    </row>
    <row r="72" spans="1:47">
      <c r="A72" s="45">
        <v>2</v>
      </c>
      <c r="B72" s="45">
        <v>21000</v>
      </c>
      <c r="C72" s="45">
        <v>5001</v>
      </c>
      <c r="D72" s="45">
        <f t="shared" si="2"/>
        <v>21005001</v>
      </c>
      <c r="E72" s="48" t="s">
        <v>284</v>
      </c>
      <c r="F72" s="45">
        <v>1</v>
      </c>
      <c r="G72" s="45">
        <v>1</v>
      </c>
      <c r="H72" s="45">
        <v>40005</v>
      </c>
      <c r="I72" s="65">
        <v>3</v>
      </c>
      <c r="J72" s="63">
        <v>0</v>
      </c>
      <c r="K72" s="63" t="s">
        <v>118</v>
      </c>
      <c r="L72" s="63" t="s">
        <v>285</v>
      </c>
      <c r="M72" s="63" t="s">
        <v>75</v>
      </c>
      <c r="N72" s="63">
        <v>0</v>
      </c>
      <c r="O72" s="63">
        <v>0</v>
      </c>
      <c r="P72" s="63" t="s">
        <v>57</v>
      </c>
      <c r="Q72" s="61"/>
      <c r="R72" s="62">
        <v>40006</v>
      </c>
      <c r="S72" s="63">
        <v>0</v>
      </c>
      <c r="T72" s="63">
        <v>0</v>
      </c>
      <c r="U72" s="63" t="s">
        <v>59</v>
      </c>
      <c r="V72" s="63" t="s">
        <v>121</v>
      </c>
      <c r="W72" s="63" t="s">
        <v>115</v>
      </c>
      <c r="X72" s="63">
        <v>0</v>
      </c>
      <c r="Y72" s="63">
        <v>2</v>
      </c>
      <c r="Z72" s="64" t="s">
        <v>188</v>
      </c>
    </row>
    <row r="73" spans="1:47">
      <c r="A73" s="45">
        <f t="shared" si="0"/>
        <v>0</v>
      </c>
      <c r="D73" s="45">
        <f t="shared" si="2"/>
        <v>0</v>
      </c>
    </row>
    <row r="74" spans="1:47" ht="19.5" thickBot="1">
      <c r="A74" s="45">
        <f t="shared" si="0"/>
        <v>0</v>
      </c>
      <c r="D74" s="45">
        <f t="shared" si="2"/>
        <v>0</v>
      </c>
      <c r="F74" s="134" t="s">
        <v>286</v>
      </c>
      <c r="G74" s="134"/>
      <c r="H74" s="134"/>
      <c r="I74" s="134"/>
      <c r="J74" s="134"/>
      <c r="K74" s="134"/>
      <c r="L74" s="134"/>
      <c r="M74" s="134"/>
      <c r="N74" s="134"/>
      <c r="O74" s="134"/>
      <c r="P74" s="134"/>
      <c r="Q74" s="134"/>
      <c r="R74" s="134"/>
      <c r="S74" s="134"/>
      <c r="T74" s="134"/>
      <c r="U74" s="134"/>
      <c r="V74" s="134"/>
      <c r="W74" s="134"/>
      <c r="X74" s="134"/>
      <c r="Y74" s="134"/>
      <c r="Z74" s="134"/>
      <c r="AA74" s="134"/>
      <c r="AC74" s="135" t="s">
        <v>287</v>
      </c>
      <c r="AD74" s="136"/>
      <c r="AE74" s="136"/>
      <c r="AF74" s="136"/>
      <c r="AG74" s="136"/>
      <c r="AH74" s="136"/>
      <c r="AI74" s="136"/>
      <c r="AJ74" s="136"/>
      <c r="AK74" s="136"/>
      <c r="AL74" s="136"/>
      <c r="AM74" s="136"/>
      <c r="AN74" s="136"/>
      <c r="AO74" s="136"/>
      <c r="AP74" s="136"/>
      <c r="AQ74" s="136"/>
      <c r="AR74" s="136"/>
      <c r="AS74" s="136"/>
      <c r="AT74" s="137"/>
    </row>
    <row r="75" spans="1:47">
      <c r="A75" s="45">
        <f t="shared" si="0"/>
        <v>0</v>
      </c>
      <c r="D75" s="45">
        <f t="shared" si="2"/>
        <v>0</v>
      </c>
      <c r="F75" s="131" t="s">
        <v>288</v>
      </c>
      <c r="G75" s="131"/>
      <c r="H75" s="131"/>
      <c r="I75" s="131"/>
      <c r="J75" s="131"/>
      <c r="K75" s="131"/>
      <c r="L75" s="131"/>
      <c r="M75" s="131"/>
      <c r="N75" s="131"/>
      <c r="O75" s="131"/>
      <c r="P75" s="131"/>
      <c r="Q75" s="131"/>
      <c r="AB75" s="45">
        <v>31101</v>
      </c>
      <c r="AC75" s="97">
        <v>0</v>
      </c>
      <c r="AD75" s="57">
        <v>0</v>
      </c>
      <c r="AE75" s="57" t="s">
        <v>92</v>
      </c>
      <c r="AF75" s="57" t="s">
        <v>289</v>
      </c>
      <c r="AG75" s="57" t="s">
        <v>170</v>
      </c>
      <c r="AH75" s="57">
        <v>0</v>
      </c>
      <c r="AI75" s="57">
        <v>0</v>
      </c>
      <c r="AJ75" s="58" t="s">
        <v>150</v>
      </c>
      <c r="AK75" s="46"/>
      <c r="AL75" s="47">
        <v>32101</v>
      </c>
      <c r="AM75" s="45">
        <v>3</v>
      </c>
      <c r="AN75" s="45">
        <v>0</v>
      </c>
      <c r="AO75" s="45" t="s">
        <v>125</v>
      </c>
      <c r="AP75" s="45" t="s">
        <v>290</v>
      </c>
      <c r="AQ75" s="45" t="s">
        <v>96</v>
      </c>
      <c r="AR75" s="45">
        <v>0</v>
      </c>
      <c r="AS75" s="45">
        <v>0</v>
      </c>
      <c r="AT75" s="98" t="s">
        <v>150</v>
      </c>
      <c r="AU75" s="45">
        <v>4</v>
      </c>
    </row>
    <row r="76" spans="1:47">
      <c r="A76" s="45">
        <v>3</v>
      </c>
      <c r="B76" s="45">
        <v>11000</v>
      </c>
      <c r="C76" s="45">
        <v>11</v>
      </c>
      <c r="D76" s="45">
        <f t="shared" si="2"/>
        <v>11000011</v>
      </c>
      <c r="E76" s="45" t="s">
        <v>291</v>
      </c>
      <c r="F76" s="45">
        <v>1</v>
      </c>
      <c r="G76" s="45">
        <v>2</v>
      </c>
      <c r="H76" s="45">
        <v>31101</v>
      </c>
      <c r="I76" s="99">
        <v>32101</v>
      </c>
      <c r="J76" s="47">
        <v>32102</v>
      </c>
      <c r="AB76" s="45">
        <v>31201</v>
      </c>
      <c r="AC76" s="100">
        <v>0</v>
      </c>
      <c r="AD76" s="53">
        <v>0</v>
      </c>
      <c r="AE76" s="53" t="s">
        <v>93</v>
      </c>
      <c r="AF76" s="53" t="s">
        <v>292</v>
      </c>
      <c r="AG76" s="53" t="s">
        <v>170</v>
      </c>
      <c r="AH76" s="53">
        <v>0</v>
      </c>
      <c r="AI76" s="53">
        <v>0</v>
      </c>
      <c r="AJ76" s="54" t="s">
        <v>150</v>
      </c>
      <c r="AK76" s="46"/>
      <c r="AL76" s="47">
        <v>32102</v>
      </c>
      <c r="AM76" s="45">
        <v>0</v>
      </c>
      <c r="AN76" s="45">
        <v>0</v>
      </c>
      <c r="AO76" s="45" t="s">
        <v>59</v>
      </c>
      <c r="AP76" s="45" t="s">
        <v>290</v>
      </c>
      <c r="AQ76" s="45" t="s">
        <v>293</v>
      </c>
      <c r="AR76" s="45">
        <v>0</v>
      </c>
      <c r="AS76" s="45">
        <v>2</v>
      </c>
      <c r="AT76" s="98" t="s">
        <v>150</v>
      </c>
      <c r="AU76" s="45">
        <v>4</v>
      </c>
    </row>
    <row r="77" spans="1:47">
      <c r="A77" s="45">
        <v>3</v>
      </c>
      <c r="B77" s="45">
        <v>11000</v>
      </c>
      <c r="C77" s="45">
        <v>12</v>
      </c>
      <c r="D77" s="45">
        <f t="shared" si="2"/>
        <v>11000012</v>
      </c>
      <c r="E77" s="45" t="s">
        <v>294</v>
      </c>
      <c r="F77" s="45">
        <v>1</v>
      </c>
      <c r="G77" s="45">
        <v>2</v>
      </c>
      <c r="H77" s="45">
        <v>31201</v>
      </c>
      <c r="I77" s="99">
        <v>32101</v>
      </c>
      <c r="J77" s="47">
        <v>32102</v>
      </c>
      <c r="AB77" s="45">
        <v>31301</v>
      </c>
      <c r="AC77" s="81">
        <v>0</v>
      </c>
      <c r="AD77" s="82">
        <v>0</v>
      </c>
      <c r="AE77" s="82" t="s">
        <v>94</v>
      </c>
      <c r="AF77" s="82" t="s">
        <v>295</v>
      </c>
      <c r="AG77" s="82" t="s">
        <v>170</v>
      </c>
      <c r="AH77" s="82">
        <v>0</v>
      </c>
      <c r="AI77" s="82">
        <v>0</v>
      </c>
      <c r="AJ77" s="84" t="s">
        <v>150</v>
      </c>
      <c r="AK77" s="46"/>
      <c r="AL77" s="47">
        <v>32201</v>
      </c>
      <c r="AM77" s="45">
        <v>3</v>
      </c>
      <c r="AN77" s="45">
        <v>0</v>
      </c>
      <c r="AO77" s="45" t="s">
        <v>125</v>
      </c>
      <c r="AP77" s="45" t="s">
        <v>296</v>
      </c>
      <c r="AQ77" s="45" t="s">
        <v>96</v>
      </c>
      <c r="AR77" s="45">
        <v>0</v>
      </c>
      <c r="AS77" s="45">
        <v>0</v>
      </c>
      <c r="AT77" s="98" t="s">
        <v>150</v>
      </c>
      <c r="AU77" s="45">
        <v>4</v>
      </c>
    </row>
    <row r="78" spans="1:47">
      <c r="A78" s="45">
        <v>3</v>
      </c>
      <c r="B78" s="45">
        <v>11000</v>
      </c>
      <c r="C78" s="45">
        <v>13</v>
      </c>
      <c r="D78" s="45">
        <f t="shared" si="2"/>
        <v>11000013</v>
      </c>
      <c r="E78" s="45" t="s">
        <v>297</v>
      </c>
      <c r="F78" s="45">
        <v>1</v>
      </c>
      <c r="G78" s="45">
        <v>2</v>
      </c>
      <c r="H78" s="45">
        <v>31301</v>
      </c>
      <c r="I78" s="99">
        <v>32101</v>
      </c>
      <c r="J78" s="47">
        <v>32102</v>
      </c>
      <c r="AC78" s="101"/>
      <c r="AK78" s="46"/>
      <c r="AL78" s="47">
        <v>32202</v>
      </c>
      <c r="AM78" s="45">
        <v>0</v>
      </c>
      <c r="AN78" s="45">
        <v>0</v>
      </c>
      <c r="AO78" s="45" t="s">
        <v>59</v>
      </c>
      <c r="AP78" s="45" t="s">
        <v>296</v>
      </c>
      <c r="AQ78" s="45" t="s">
        <v>298</v>
      </c>
      <c r="AR78" s="45">
        <v>0</v>
      </c>
      <c r="AS78" s="45">
        <v>2</v>
      </c>
      <c r="AT78" s="98" t="s">
        <v>150</v>
      </c>
      <c r="AU78" s="45">
        <v>4</v>
      </c>
    </row>
    <row r="79" spans="1:47">
      <c r="A79" s="45">
        <v>3</v>
      </c>
      <c r="B79" s="45">
        <v>12000</v>
      </c>
      <c r="C79" s="45">
        <v>11</v>
      </c>
      <c r="D79" s="45">
        <f t="shared" si="2"/>
        <v>12000011</v>
      </c>
      <c r="E79" s="45" t="s">
        <v>299</v>
      </c>
      <c r="F79" s="45">
        <v>1</v>
      </c>
      <c r="G79" s="45">
        <v>2</v>
      </c>
      <c r="H79" s="45">
        <v>31101</v>
      </c>
      <c r="I79" s="99">
        <v>32201</v>
      </c>
      <c r="J79" s="47">
        <v>32202</v>
      </c>
      <c r="AC79" s="101"/>
      <c r="AF79" s="138" t="s">
        <v>300</v>
      </c>
      <c r="AG79" s="139"/>
      <c r="AH79" s="139"/>
      <c r="AI79" s="139"/>
      <c r="AJ79" s="139"/>
      <c r="AK79" s="46"/>
      <c r="AL79" s="47">
        <v>32301</v>
      </c>
      <c r="AM79" s="76">
        <v>3</v>
      </c>
      <c r="AN79" s="76">
        <v>0</v>
      </c>
      <c r="AO79" s="76" t="s">
        <v>125</v>
      </c>
      <c r="AP79" s="76" t="s">
        <v>301</v>
      </c>
      <c r="AQ79" s="76" t="s">
        <v>96</v>
      </c>
      <c r="AR79" s="76">
        <v>0</v>
      </c>
      <c r="AS79" s="76">
        <v>0</v>
      </c>
      <c r="AT79" s="98" t="s">
        <v>150</v>
      </c>
      <c r="AU79" s="45">
        <v>4</v>
      </c>
    </row>
    <row r="80" spans="1:47">
      <c r="A80" s="45">
        <v>3</v>
      </c>
      <c r="B80" s="45">
        <v>12000</v>
      </c>
      <c r="C80" s="45">
        <v>12</v>
      </c>
      <c r="D80" s="45">
        <f t="shared" si="2"/>
        <v>12000012</v>
      </c>
      <c r="E80" s="45" t="s">
        <v>302</v>
      </c>
      <c r="F80" s="45">
        <v>1</v>
      </c>
      <c r="G80" s="45">
        <v>2</v>
      </c>
      <c r="H80" s="45">
        <v>31201</v>
      </c>
      <c r="I80" s="99">
        <v>32201</v>
      </c>
      <c r="J80" s="47">
        <v>32202</v>
      </c>
      <c r="AC80" s="101"/>
      <c r="AF80" s="139"/>
      <c r="AG80" s="139"/>
      <c r="AH80" s="139"/>
      <c r="AI80" s="139"/>
      <c r="AJ80" s="139"/>
      <c r="AK80" s="46"/>
      <c r="AL80" s="47">
        <v>32302</v>
      </c>
      <c r="AM80" s="76">
        <v>0</v>
      </c>
      <c r="AN80" s="76">
        <v>0</v>
      </c>
      <c r="AO80" s="76" t="s">
        <v>59</v>
      </c>
      <c r="AP80" s="76" t="s">
        <v>301</v>
      </c>
      <c r="AQ80" s="76" t="s">
        <v>303</v>
      </c>
      <c r="AR80" s="76">
        <v>0</v>
      </c>
      <c r="AS80" s="76">
        <v>2</v>
      </c>
      <c r="AT80" s="98" t="s">
        <v>150</v>
      </c>
      <c r="AU80" s="45">
        <v>4</v>
      </c>
    </row>
    <row r="81" spans="1:47">
      <c r="A81" s="45">
        <v>3</v>
      </c>
      <c r="B81" s="45">
        <v>12000</v>
      </c>
      <c r="C81" s="45">
        <v>13</v>
      </c>
      <c r="D81" s="45">
        <f t="shared" si="2"/>
        <v>12000013</v>
      </c>
      <c r="E81" s="45" t="s">
        <v>304</v>
      </c>
      <c r="F81" s="45">
        <v>1</v>
      </c>
      <c r="G81" s="45">
        <v>2</v>
      </c>
      <c r="H81" s="45">
        <v>31301</v>
      </c>
      <c r="I81" s="99">
        <v>32201</v>
      </c>
      <c r="J81" s="47">
        <v>32202</v>
      </c>
      <c r="AC81" s="101"/>
      <c r="AK81" s="46"/>
      <c r="AL81" s="47">
        <v>32401</v>
      </c>
      <c r="AM81" s="45">
        <v>3</v>
      </c>
      <c r="AN81" s="45">
        <v>0</v>
      </c>
      <c r="AO81" s="45" t="s">
        <v>125</v>
      </c>
      <c r="AP81" s="45" t="s">
        <v>305</v>
      </c>
      <c r="AQ81" s="45" t="s">
        <v>96</v>
      </c>
      <c r="AR81" s="45">
        <v>0</v>
      </c>
      <c r="AS81" s="45">
        <v>0</v>
      </c>
      <c r="AT81" s="98" t="s">
        <v>150</v>
      </c>
      <c r="AU81" s="45">
        <v>4</v>
      </c>
    </row>
    <row r="82" spans="1:47" ht="19.5" thickBot="1">
      <c r="A82" s="45">
        <v>3</v>
      </c>
      <c r="B82" s="45">
        <v>13000</v>
      </c>
      <c r="C82" s="45">
        <v>11</v>
      </c>
      <c r="D82" s="45">
        <f t="shared" si="2"/>
        <v>13000011</v>
      </c>
      <c r="E82" s="45" t="s">
        <v>306</v>
      </c>
      <c r="F82" s="45">
        <v>1</v>
      </c>
      <c r="G82" s="45">
        <v>2</v>
      </c>
      <c r="H82" s="45">
        <v>31101</v>
      </c>
      <c r="I82" s="99">
        <v>32301</v>
      </c>
      <c r="J82" s="47">
        <v>32302</v>
      </c>
      <c r="AC82" s="102"/>
      <c r="AD82" s="103"/>
      <c r="AE82" s="103"/>
      <c r="AF82" s="103"/>
      <c r="AG82" s="103"/>
      <c r="AH82" s="103"/>
      <c r="AI82" s="103"/>
      <c r="AJ82" s="103"/>
      <c r="AK82" s="104"/>
      <c r="AL82" s="105">
        <v>32402</v>
      </c>
      <c r="AM82" s="103">
        <v>0</v>
      </c>
      <c r="AN82" s="103">
        <v>0</v>
      </c>
      <c r="AO82" s="103" t="s">
        <v>59</v>
      </c>
      <c r="AP82" s="103" t="s">
        <v>305</v>
      </c>
      <c r="AQ82" s="103" t="s">
        <v>307</v>
      </c>
      <c r="AR82" s="103">
        <v>0</v>
      </c>
      <c r="AS82" s="103">
        <v>2</v>
      </c>
      <c r="AT82" s="106" t="s">
        <v>150</v>
      </c>
      <c r="AU82" s="45">
        <v>4</v>
      </c>
    </row>
    <row r="83" spans="1:47">
      <c r="A83" s="45">
        <v>3</v>
      </c>
      <c r="B83" s="45">
        <v>13000</v>
      </c>
      <c r="C83" s="45">
        <v>12</v>
      </c>
      <c r="D83" s="45">
        <f t="shared" si="2"/>
        <v>13000012</v>
      </c>
      <c r="E83" s="45" t="s">
        <v>308</v>
      </c>
      <c r="F83" s="45">
        <v>1</v>
      </c>
      <c r="G83" s="45">
        <v>2</v>
      </c>
      <c r="H83" s="45">
        <v>31201</v>
      </c>
      <c r="I83" s="99">
        <v>32301</v>
      </c>
      <c r="J83" s="47">
        <v>32302</v>
      </c>
      <c r="AK83" s="46"/>
      <c r="AL83" s="47"/>
    </row>
    <row r="84" spans="1:47" ht="19.5" thickBot="1">
      <c r="A84" s="45">
        <v>3</v>
      </c>
      <c r="B84" s="45">
        <v>13000</v>
      </c>
      <c r="C84" s="45">
        <v>13</v>
      </c>
      <c r="D84" s="45">
        <f t="shared" si="2"/>
        <v>13000013</v>
      </c>
      <c r="E84" s="45" t="s">
        <v>309</v>
      </c>
      <c r="F84" s="45">
        <v>1</v>
      </c>
      <c r="G84" s="45">
        <v>2</v>
      </c>
      <c r="H84" s="45">
        <v>31301</v>
      </c>
      <c r="I84" s="99">
        <v>32301</v>
      </c>
      <c r="J84" s="47">
        <v>32302</v>
      </c>
      <c r="AC84" s="128" t="s">
        <v>310</v>
      </c>
      <c r="AD84" s="129"/>
      <c r="AE84" s="129"/>
      <c r="AF84" s="129"/>
      <c r="AG84" s="129"/>
      <c r="AH84" s="129"/>
      <c r="AI84" s="129"/>
      <c r="AJ84" s="129"/>
      <c r="AK84" s="129"/>
      <c r="AL84" s="129"/>
      <c r="AM84" s="129"/>
      <c r="AN84" s="129"/>
      <c r="AO84" s="129"/>
      <c r="AP84" s="129"/>
      <c r="AQ84" s="129"/>
      <c r="AR84" s="129"/>
      <c r="AS84" s="129"/>
      <c r="AT84" s="140"/>
    </row>
    <row r="85" spans="1:47">
      <c r="A85" s="45">
        <v>3</v>
      </c>
      <c r="B85" s="45">
        <v>14000</v>
      </c>
      <c r="C85" s="45">
        <v>11</v>
      </c>
      <c r="D85" s="45">
        <f t="shared" si="2"/>
        <v>14000011</v>
      </c>
      <c r="E85" s="45" t="s">
        <v>311</v>
      </c>
      <c r="F85" s="45">
        <v>1</v>
      </c>
      <c r="G85" s="45">
        <v>2</v>
      </c>
      <c r="H85" s="45">
        <v>31101</v>
      </c>
      <c r="I85" s="99">
        <v>32401</v>
      </c>
      <c r="J85" s="47">
        <v>32402</v>
      </c>
      <c r="AB85" s="45">
        <v>33101</v>
      </c>
      <c r="AC85" s="107">
        <v>3</v>
      </c>
      <c r="AD85" s="108">
        <v>0</v>
      </c>
      <c r="AE85" s="108" t="s">
        <v>123</v>
      </c>
      <c r="AF85" s="108" t="s">
        <v>124</v>
      </c>
      <c r="AG85" s="108" t="s">
        <v>312</v>
      </c>
      <c r="AH85" s="108">
        <v>0</v>
      </c>
      <c r="AI85" s="108">
        <v>0</v>
      </c>
      <c r="AJ85" s="109" t="s">
        <v>313</v>
      </c>
      <c r="AK85" s="110"/>
      <c r="AL85" s="111">
        <v>34001</v>
      </c>
      <c r="AM85" s="108">
        <v>3</v>
      </c>
      <c r="AN85" s="108">
        <v>0</v>
      </c>
      <c r="AO85" s="108" t="s">
        <v>125</v>
      </c>
      <c r="AP85" s="108" t="s">
        <v>128</v>
      </c>
      <c r="AQ85" s="108" t="s">
        <v>96</v>
      </c>
      <c r="AR85" s="108">
        <v>0</v>
      </c>
      <c r="AS85" s="108">
        <v>0</v>
      </c>
      <c r="AT85" s="112" t="s">
        <v>150</v>
      </c>
      <c r="AU85" s="45">
        <v>4</v>
      </c>
    </row>
    <row r="86" spans="1:47">
      <c r="A86" s="45">
        <v>3</v>
      </c>
      <c r="B86" s="45">
        <v>14000</v>
      </c>
      <c r="C86" s="45">
        <v>12</v>
      </c>
      <c r="D86" s="45">
        <f t="shared" si="2"/>
        <v>14000012</v>
      </c>
      <c r="E86" s="45" t="s">
        <v>314</v>
      </c>
      <c r="F86" s="45">
        <v>1</v>
      </c>
      <c r="G86" s="45">
        <v>2</v>
      </c>
      <c r="H86" s="45">
        <v>31201</v>
      </c>
      <c r="I86" s="99">
        <v>32401</v>
      </c>
      <c r="J86" s="47">
        <v>32402</v>
      </c>
      <c r="AB86" s="45">
        <v>33201</v>
      </c>
      <c r="AC86" s="113">
        <v>3</v>
      </c>
      <c r="AD86" s="76">
        <v>0</v>
      </c>
      <c r="AE86" s="76" t="s">
        <v>315</v>
      </c>
      <c r="AF86" s="76" t="s">
        <v>316</v>
      </c>
      <c r="AG86" s="76" t="s">
        <v>312</v>
      </c>
      <c r="AH86" s="76">
        <v>0</v>
      </c>
      <c r="AI86" s="76">
        <v>0</v>
      </c>
      <c r="AJ86" s="50" t="s">
        <v>313</v>
      </c>
      <c r="AK86" s="46"/>
      <c r="AL86" s="47">
        <v>34002</v>
      </c>
      <c r="AM86" s="76">
        <v>0</v>
      </c>
      <c r="AN86" s="76">
        <v>0</v>
      </c>
      <c r="AO86" s="76" t="s">
        <v>59</v>
      </c>
      <c r="AP86" s="76" t="s">
        <v>128</v>
      </c>
      <c r="AQ86" s="76" t="s">
        <v>129</v>
      </c>
      <c r="AR86" s="76">
        <v>0</v>
      </c>
      <c r="AS86" s="76">
        <v>2</v>
      </c>
      <c r="AT86" s="98" t="s">
        <v>150</v>
      </c>
      <c r="AU86" s="45">
        <v>4</v>
      </c>
    </row>
    <row r="87" spans="1:47">
      <c r="A87" s="45">
        <v>3</v>
      </c>
      <c r="B87" s="45">
        <v>14000</v>
      </c>
      <c r="C87" s="45">
        <v>13</v>
      </c>
      <c r="D87" s="45">
        <f t="shared" si="2"/>
        <v>14000013</v>
      </c>
      <c r="E87" s="45" t="s">
        <v>317</v>
      </c>
      <c r="F87" s="45">
        <v>1</v>
      </c>
      <c r="G87" s="45">
        <v>2</v>
      </c>
      <c r="H87" s="45">
        <v>31301</v>
      </c>
      <c r="I87" s="99">
        <v>32401</v>
      </c>
      <c r="J87" s="47">
        <v>32402</v>
      </c>
      <c r="AB87" s="45">
        <v>33301</v>
      </c>
      <c r="AC87" s="113">
        <v>3</v>
      </c>
      <c r="AD87" s="76">
        <v>0</v>
      </c>
      <c r="AE87" s="76" t="s">
        <v>318</v>
      </c>
      <c r="AF87" s="76" t="s">
        <v>319</v>
      </c>
      <c r="AG87" s="76" t="s">
        <v>312</v>
      </c>
      <c r="AH87" s="76">
        <v>0</v>
      </c>
      <c r="AI87" s="76">
        <v>0</v>
      </c>
      <c r="AJ87" s="50" t="s">
        <v>313</v>
      </c>
      <c r="AK87" s="46"/>
      <c r="AL87" s="47">
        <v>34101</v>
      </c>
      <c r="AM87" s="45">
        <v>3</v>
      </c>
      <c r="AN87" s="45">
        <v>0</v>
      </c>
      <c r="AO87" s="45" t="s">
        <v>125</v>
      </c>
      <c r="AP87" s="45" t="s">
        <v>320</v>
      </c>
      <c r="AQ87" s="45" t="s">
        <v>96</v>
      </c>
      <c r="AR87" s="45">
        <v>0</v>
      </c>
      <c r="AS87" s="45">
        <v>0</v>
      </c>
      <c r="AT87" s="98" t="s">
        <v>150</v>
      </c>
      <c r="AU87" s="45">
        <v>4</v>
      </c>
    </row>
    <row r="88" spans="1:47">
      <c r="A88" s="45">
        <f t="shared" ref="A88:A117" si="3">IF(ISBLANK(B88),0,1)</f>
        <v>0</v>
      </c>
      <c r="D88" s="45">
        <f t="shared" si="2"/>
        <v>0</v>
      </c>
      <c r="AB88" s="45">
        <v>33401</v>
      </c>
      <c r="AC88" s="113">
        <v>3</v>
      </c>
      <c r="AD88" s="76">
        <v>0</v>
      </c>
      <c r="AE88" s="76" t="s">
        <v>321</v>
      </c>
      <c r="AF88" s="76" t="s">
        <v>322</v>
      </c>
      <c r="AG88" s="76" t="s">
        <v>312</v>
      </c>
      <c r="AH88" s="76">
        <v>0</v>
      </c>
      <c r="AI88" s="76">
        <v>0</v>
      </c>
      <c r="AJ88" s="50" t="s">
        <v>313</v>
      </c>
      <c r="AK88" s="46"/>
      <c r="AL88" s="47">
        <v>34102</v>
      </c>
      <c r="AM88" s="45">
        <v>0</v>
      </c>
      <c r="AN88" s="45">
        <v>0</v>
      </c>
      <c r="AO88" s="45" t="s">
        <v>59</v>
      </c>
      <c r="AP88" s="45" t="s">
        <v>320</v>
      </c>
      <c r="AQ88" s="45" t="s">
        <v>323</v>
      </c>
      <c r="AR88" s="45">
        <v>0</v>
      </c>
      <c r="AS88" s="45">
        <v>2</v>
      </c>
      <c r="AT88" s="98" t="s">
        <v>150</v>
      </c>
      <c r="AU88" s="45">
        <v>4</v>
      </c>
    </row>
    <row r="89" spans="1:47">
      <c r="A89" s="45">
        <f t="shared" si="3"/>
        <v>0</v>
      </c>
      <c r="D89" s="45">
        <f t="shared" si="2"/>
        <v>0</v>
      </c>
      <c r="AC89" s="113"/>
      <c r="AD89" s="76"/>
      <c r="AE89" s="76"/>
      <c r="AF89" s="76"/>
      <c r="AG89" s="76"/>
      <c r="AH89" s="76"/>
      <c r="AI89" s="76"/>
      <c r="AJ89" s="50"/>
      <c r="AK89" s="46"/>
      <c r="AL89" s="47">
        <v>34201</v>
      </c>
      <c r="AM89" s="45">
        <v>3</v>
      </c>
      <c r="AN89" s="45">
        <v>0</v>
      </c>
      <c r="AO89" s="45" t="s">
        <v>125</v>
      </c>
      <c r="AP89" s="45" t="s">
        <v>324</v>
      </c>
      <c r="AQ89" s="45" t="s">
        <v>96</v>
      </c>
      <c r="AR89" s="45">
        <v>0</v>
      </c>
      <c r="AS89" s="45">
        <v>0</v>
      </c>
      <c r="AT89" s="98" t="s">
        <v>150</v>
      </c>
      <c r="AU89" s="45">
        <v>4</v>
      </c>
    </row>
    <row r="90" spans="1:47">
      <c r="A90" s="45">
        <f t="shared" si="3"/>
        <v>0</v>
      </c>
      <c r="D90" s="45">
        <f t="shared" si="2"/>
        <v>0</v>
      </c>
      <c r="F90" s="131" t="s">
        <v>310</v>
      </c>
      <c r="G90" s="131"/>
      <c r="H90" s="131"/>
      <c r="I90" s="131"/>
      <c r="J90" s="131"/>
      <c r="K90" s="131"/>
      <c r="L90" s="131"/>
      <c r="M90" s="131"/>
      <c r="N90" s="131"/>
      <c r="O90" s="131"/>
      <c r="P90" s="131"/>
      <c r="Q90" s="131"/>
      <c r="AC90" s="113"/>
      <c r="AD90" s="76"/>
      <c r="AE90" s="76"/>
      <c r="AF90" s="76"/>
      <c r="AG90" s="76"/>
      <c r="AH90" s="76"/>
      <c r="AI90" s="76"/>
      <c r="AJ90" s="50"/>
      <c r="AK90" s="46"/>
      <c r="AL90" s="47">
        <v>34202</v>
      </c>
      <c r="AM90" s="45">
        <v>0</v>
      </c>
      <c r="AN90" s="45">
        <v>0</v>
      </c>
      <c r="AO90" s="45" t="s">
        <v>59</v>
      </c>
      <c r="AP90" s="45" t="s">
        <v>324</v>
      </c>
      <c r="AQ90" s="45" t="s">
        <v>325</v>
      </c>
      <c r="AR90" s="45">
        <v>0</v>
      </c>
      <c r="AS90" s="45">
        <v>2</v>
      </c>
      <c r="AT90" s="98" t="s">
        <v>150</v>
      </c>
      <c r="AU90" s="45">
        <v>4</v>
      </c>
    </row>
    <row r="91" spans="1:47">
      <c r="A91" s="45">
        <v>3</v>
      </c>
      <c r="B91" s="45">
        <v>0</v>
      </c>
      <c r="C91" s="45">
        <v>21</v>
      </c>
      <c r="D91" s="45">
        <f t="shared" si="2"/>
        <v>21</v>
      </c>
      <c r="E91" s="48" t="s">
        <v>326</v>
      </c>
      <c r="F91" s="45">
        <v>1</v>
      </c>
      <c r="G91" s="45">
        <v>2</v>
      </c>
      <c r="H91" s="45">
        <v>33101</v>
      </c>
      <c r="I91" s="99">
        <v>34501</v>
      </c>
      <c r="J91" s="47">
        <v>34502</v>
      </c>
      <c r="AC91" s="113"/>
      <c r="AD91" s="76"/>
      <c r="AE91" s="76"/>
      <c r="AF91" s="76"/>
      <c r="AG91" s="76"/>
      <c r="AH91" s="76"/>
      <c r="AI91" s="76"/>
      <c r="AJ91" s="50"/>
      <c r="AK91" s="46"/>
      <c r="AL91" s="47">
        <v>34301</v>
      </c>
      <c r="AM91" s="76">
        <v>3</v>
      </c>
      <c r="AN91" s="76">
        <v>0</v>
      </c>
      <c r="AO91" s="76" t="s">
        <v>125</v>
      </c>
      <c r="AP91" s="76" t="s">
        <v>327</v>
      </c>
      <c r="AQ91" s="76" t="s">
        <v>96</v>
      </c>
      <c r="AR91" s="76">
        <v>0</v>
      </c>
      <c r="AS91" s="76">
        <v>0</v>
      </c>
      <c r="AT91" s="98" t="s">
        <v>150</v>
      </c>
      <c r="AU91" s="45">
        <v>4</v>
      </c>
    </row>
    <row r="92" spans="1:47">
      <c r="A92" s="45">
        <v>3</v>
      </c>
      <c r="B92" s="45">
        <v>0</v>
      </c>
      <c r="C92" s="45">
        <v>22</v>
      </c>
      <c r="D92" s="45">
        <f t="shared" si="2"/>
        <v>22</v>
      </c>
      <c r="E92" s="45" t="s">
        <v>328</v>
      </c>
      <c r="F92" s="45">
        <v>1</v>
      </c>
      <c r="G92" s="45">
        <v>2</v>
      </c>
      <c r="H92" s="45">
        <v>33201</v>
      </c>
      <c r="I92" s="99">
        <v>34501</v>
      </c>
      <c r="J92" s="47">
        <v>34502</v>
      </c>
      <c r="AC92" s="113"/>
      <c r="AD92" s="76"/>
      <c r="AE92" s="76"/>
      <c r="AF92" s="76"/>
      <c r="AG92" s="76"/>
      <c r="AH92" s="76"/>
      <c r="AI92" s="76"/>
      <c r="AJ92" s="50"/>
      <c r="AK92" s="46"/>
      <c r="AL92" s="47">
        <v>34302</v>
      </c>
      <c r="AM92" s="76">
        <v>0</v>
      </c>
      <c r="AN92" s="76">
        <v>0</v>
      </c>
      <c r="AO92" s="76" t="s">
        <v>59</v>
      </c>
      <c r="AP92" s="76" t="s">
        <v>327</v>
      </c>
      <c r="AQ92" s="76" t="s">
        <v>329</v>
      </c>
      <c r="AR92" s="76">
        <v>0</v>
      </c>
      <c r="AS92" s="76">
        <v>2</v>
      </c>
      <c r="AT92" s="98" t="s">
        <v>150</v>
      </c>
      <c r="AU92" s="45">
        <v>4</v>
      </c>
    </row>
    <row r="93" spans="1:47">
      <c r="A93" s="45">
        <v>3</v>
      </c>
      <c r="B93" s="45">
        <v>0</v>
      </c>
      <c r="C93" s="45">
        <v>23</v>
      </c>
      <c r="D93" s="45">
        <f t="shared" si="2"/>
        <v>23</v>
      </c>
      <c r="E93" s="45" t="s">
        <v>330</v>
      </c>
      <c r="F93" s="45">
        <v>1</v>
      </c>
      <c r="G93" s="45">
        <v>2</v>
      </c>
      <c r="H93" s="45">
        <v>33301</v>
      </c>
      <c r="I93" s="99">
        <v>34501</v>
      </c>
      <c r="J93" s="47">
        <v>34502</v>
      </c>
      <c r="AC93" s="113"/>
      <c r="AD93" s="76"/>
      <c r="AE93" s="76"/>
      <c r="AF93" s="76"/>
      <c r="AG93" s="76"/>
      <c r="AH93" s="76"/>
      <c r="AI93" s="76"/>
      <c r="AJ93" s="50"/>
      <c r="AK93" s="46"/>
      <c r="AL93" s="47">
        <v>34401</v>
      </c>
      <c r="AM93" s="45">
        <v>3</v>
      </c>
      <c r="AN93" s="45">
        <v>0</v>
      </c>
      <c r="AO93" s="45" t="s">
        <v>125</v>
      </c>
      <c r="AP93" s="45" t="s">
        <v>331</v>
      </c>
      <c r="AQ93" s="45" t="s">
        <v>96</v>
      </c>
      <c r="AR93" s="45">
        <v>0</v>
      </c>
      <c r="AS93" s="45">
        <v>0</v>
      </c>
      <c r="AT93" s="98" t="s">
        <v>150</v>
      </c>
      <c r="AU93" s="45">
        <v>4</v>
      </c>
    </row>
    <row r="94" spans="1:47">
      <c r="A94" s="45">
        <v>3</v>
      </c>
      <c r="B94" s="45">
        <v>0</v>
      </c>
      <c r="C94" s="45">
        <v>24</v>
      </c>
      <c r="D94" s="45">
        <f t="shared" si="2"/>
        <v>24</v>
      </c>
      <c r="E94" s="45" t="s">
        <v>332</v>
      </c>
      <c r="F94" s="45">
        <v>1</v>
      </c>
      <c r="G94" s="45">
        <v>2</v>
      </c>
      <c r="H94" s="45">
        <v>33401</v>
      </c>
      <c r="I94" s="99">
        <v>34501</v>
      </c>
      <c r="J94" s="47">
        <v>34502</v>
      </c>
      <c r="AC94" s="113"/>
      <c r="AD94" s="76"/>
      <c r="AE94" s="76"/>
      <c r="AF94" s="76"/>
      <c r="AG94" s="76"/>
      <c r="AH94" s="76"/>
      <c r="AI94" s="76"/>
      <c r="AJ94" s="50"/>
      <c r="AK94" s="46"/>
      <c r="AL94" s="47">
        <v>34402</v>
      </c>
      <c r="AM94" s="45">
        <v>0</v>
      </c>
      <c r="AN94" s="45">
        <v>0</v>
      </c>
      <c r="AO94" s="45" t="s">
        <v>59</v>
      </c>
      <c r="AP94" s="45" t="s">
        <v>331</v>
      </c>
      <c r="AQ94" s="45" t="s">
        <v>333</v>
      </c>
      <c r="AR94" s="45">
        <v>0</v>
      </c>
      <c r="AS94" s="45">
        <v>2</v>
      </c>
      <c r="AT94" s="98" t="s">
        <v>150</v>
      </c>
      <c r="AU94" s="45">
        <v>4</v>
      </c>
    </row>
    <row r="95" spans="1:47">
      <c r="A95" s="45">
        <v>3</v>
      </c>
      <c r="B95" s="45">
        <v>100</v>
      </c>
      <c r="C95" s="45">
        <v>21</v>
      </c>
      <c r="D95" s="45">
        <f t="shared" si="2"/>
        <v>100021</v>
      </c>
      <c r="E95" s="48" t="s">
        <v>122</v>
      </c>
      <c r="F95" s="45">
        <v>1</v>
      </c>
      <c r="G95" s="45">
        <v>2</v>
      </c>
      <c r="H95" s="45">
        <v>33101</v>
      </c>
      <c r="I95" s="99">
        <v>34001</v>
      </c>
      <c r="J95" s="47">
        <v>34002</v>
      </c>
      <c r="AC95" s="113"/>
      <c r="AD95" s="76"/>
      <c r="AE95" s="76"/>
      <c r="AF95" s="76"/>
      <c r="AG95" s="76"/>
      <c r="AH95" s="76"/>
      <c r="AI95" s="76"/>
      <c r="AJ95" s="50"/>
      <c r="AK95" s="46"/>
      <c r="AL95" s="47">
        <v>34501</v>
      </c>
      <c r="AM95" s="45">
        <v>3</v>
      </c>
      <c r="AN95" s="45">
        <v>0</v>
      </c>
      <c r="AO95" s="45" t="s">
        <v>125</v>
      </c>
      <c r="AP95" s="45" t="s">
        <v>126</v>
      </c>
      <c r="AQ95" s="45" t="s">
        <v>96</v>
      </c>
      <c r="AR95" s="45">
        <v>0</v>
      </c>
      <c r="AS95" s="45">
        <v>0</v>
      </c>
      <c r="AT95" s="98" t="s">
        <v>150</v>
      </c>
      <c r="AU95" s="45">
        <v>4</v>
      </c>
    </row>
    <row r="96" spans="1:47">
      <c r="A96" s="45">
        <v>3</v>
      </c>
      <c r="B96" s="45">
        <v>100</v>
      </c>
      <c r="C96" s="45">
        <v>22</v>
      </c>
      <c r="D96" s="45">
        <f t="shared" si="2"/>
        <v>100022</v>
      </c>
      <c r="E96" s="45" t="s">
        <v>334</v>
      </c>
      <c r="F96" s="45">
        <v>1</v>
      </c>
      <c r="G96" s="45">
        <v>2</v>
      </c>
      <c r="H96" s="45">
        <v>33201</v>
      </c>
      <c r="I96" s="99">
        <v>34001</v>
      </c>
      <c r="J96" s="47">
        <v>34002</v>
      </c>
      <c r="AC96" s="113"/>
      <c r="AD96" s="76"/>
      <c r="AE96" s="76"/>
      <c r="AF96" s="76"/>
      <c r="AG96" s="76"/>
      <c r="AH96" s="76"/>
      <c r="AI96" s="76"/>
      <c r="AJ96" s="50"/>
      <c r="AK96" s="46"/>
      <c r="AL96" s="47">
        <v>34502</v>
      </c>
      <c r="AM96" s="45">
        <v>0</v>
      </c>
      <c r="AN96" s="45">
        <v>0</v>
      </c>
      <c r="AO96" s="45" t="s">
        <v>59</v>
      </c>
      <c r="AP96" s="45" t="s">
        <v>126</v>
      </c>
      <c r="AQ96" s="45" t="s">
        <v>127</v>
      </c>
      <c r="AR96" s="45">
        <v>0</v>
      </c>
      <c r="AS96" s="45">
        <v>2</v>
      </c>
      <c r="AT96" s="98" t="s">
        <v>150</v>
      </c>
      <c r="AU96" s="45">
        <v>4</v>
      </c>
    </row>
    <row r="97" spans="1:47">
      <c r="A97" s="45">
        <v>3</v>
      </c>
      <c r="B97" s="45">
        <v>100</v>
      </c>
      <c r="C97" s="45">
        <v>23</v>
      </c>
      <c r="D97" s="45">
        <f t="shared" si="2"/>
        <v>100023</v>
      </c>
      <c r="E97" s="45" t="s">
        <v>335</v>
      </c>
      <c r="F97" s="45">
        <v>1</v>
      </c>
      <c r="G97" s="45">
        <v>2</v>
      </c>
      <c r="H97" s="45">
        <v>33301</v>
      </c>
      <c r="I97" s="99">
        <v>34001</v>
      </c>
      <c r="J97" s="47">
        <v>34002</v>
      </c>
      <c r="AC97" s="101"/>
      <c r="AK97" s="46"/>
      <c r="AL97" s="47"/>
      <c r="AT97" s="114"/>
    </row>
    <row r="98" spans="1:47">
      <c r="A98" s="45">
        <v>3</v>
      </c>
      <c r="B98" s="45">
        <v>100</v>
      </c>
      <c r="C98" s="45">
        <v>24</v>
      </c>
      <c r="D98" s="45">
        <f t="shared" si="2"/>
        <v>100024</v>
      </c>
      <c r="E98" s="45" t="s">
        <v>336</v>
      </c>
      <c r="F98" s="45">
        <v>1</v>
      </c>
      <c r="G98" s="45">
        <v>2</v>
      </c>
      <c r="H98" s="45">
        <v>33401</v>
      </c>
      <c r="I98" s="99">
        <v>34001</v>
      </c>
      <c r="J98" s="47">
        <v>34002</v>
      </c>
      <c r="AC98" s="101"/>
      <c r="AF98" s="138" t="s">
        <v>300</v>
      </c>
      <c r="AG98" s="139"/>
      <c r="AH98" s="139"/>
      <c r="AI98" s="139"/>
      <c r="AJ98" s="139"/>
      <c r="AK98" s="92"/>
      <c r="AL98" s="47"/>
      <c r="AT98" s="114"/>
    </row>
    <row r="99" spans="1:47">
      <c r="A99" s="45">
        <v>3</v>
      </c>
      <c r="B99" s="45">
        <v>11000</v>
      </c>
      <c r="C99" s="45">
        <v>21</v>
      </c>
      <c r="D99" s="45">
        <f t="shared" si="2"/>
        <v>11000021</v>
      </c>
      <c r="E99" s="45" t="s">
        <v>337</v>
      </c>
      <c r="F99" s="45">
        <v>1</v>
      </c>
      <c r="G99" s="45">
        <v>2</v>
      </c>
      <c r="H99" s="45">
        <v>33101</v>
      </c>
      <c r="I99" s="99">
        <v>34101</v>
      </c>
      <c r="J99" s="47">
        <v>34102</v>
      </c>
      <c r="AC99" s="101"/>
      <c r="AF99" s="139"/>
      <c r="AG99" s="139"/>
      <c r="AH99" s="139"/>
      <c r="AI99" s="139"/>
      <c r="AJ99" s="139"/>
      <c r="AK99" s="92"/>
      <c r="AL99" s="47"/>
      <c r="AT99" s="114"/>
    </row>
    <row r="100" spans="1:47" ht="19.5" thickBot="1">
      <c r="A100" s="45">
        <v>3</v>
      </c>
      <c r="B100" s="45">
        <v>11000</v>
      </c>
      <c r="C100" s="45">
        <v>22</v>
      </c>
      <c r="D100" s="45">
        <f t="shared" si="2"/>
        <v>11000022</v>
      </c>
      <c r="E100" s="45" t="s">
        <v>338</v>
      </c>
      <c r="F100" s="45">
        <v>1</v>
      </c>
      <c r="G100" s="45">
        <v>2</v>
      </c>
      <c r="H100" s="45">
        <v>33201</v>
      </c>
      <c r="I100" s="99">
        <v>34101</v>
      </c>
      <c r="J100" s="47">
        <v>34102</v>
      </c>
      <c r="AC100" s="102"/>
      <c r="AD100" s="103"/>
      <c r="AE100" s="103"/>
      <c r="AF100" s="103"/>
      <c r="AG100" s="103"/>
      <c r="AH100" s="103"/>
      <c r="AI100" s="103"/>
      <c r="AJ100" s="103"/>
      <c r="AK100" s="115"/>
      <c r="AL100" s="105"/>
      <c r="AM100" s="103"/>
      <c r="AN100" s="103"/>
      <c r="AO100" s="103"/>
      <c r="AP100" s="103"/>
      <c r="AQ100" s="103"/>
      <c r="AR100" s="103"/>
      <c r="AS100" s="103"/>
      <c r="AT100" s="116"/>
    </row>
    <row r="101" spans="1:47">
      <c r="A101" s="45">
        <v>3</v>
      </c>
      <c r="B101" s="45">
        <v>11000</v>
      </c>
      <c r="C101" s="45">
        <v>23</v>
      </c>
      <c r="D101" s="45">
        <f t="shared" si="2"/>
        <v>11000023</v>
      </c>
      <c r="E101" s="45" t="s">
        <v>339</v>
      </c>
      <c r="F101" s="45">
        <v>1</v>
      </c>
      <c r="G101" s="45">
        <v>2</v>
      </c>
      <c r="H101" s="45">
        <v>33301</v>
      </c>
      <c r="I101" s="99">
        <v>34101</v>
      </c>
      <c r="J101" s="47">
        <v>34102</v>
      </c>
      <c r="AK101" s="92"/>
      <c r="AL101" s="47"/>
    </row>
    <row r="102" spans="1:47" ht="19.5" thickBot="1">
      <c r="A102" s="45">
        <v>3</v>
      </c>
      <c r="B102" s="45">
        <v>11000</v>
      </c>
      <c r="C102" s="45">
        <v>24</v>
      </c>
      <c r="D102" s="45">
        <f t="shared" si="2"/>
        <v>11000024</v>
      </c>
      <c r="E102" s="45" t="s">
        <v>340</v>
      </c>
      <c r="F102" s="45">
        <v>1</v>
      </c>
      <c r="G102" s="45">
        <v>2</v>
      </c>
      <c r="H102" s="45">
        <v>33401</v>
      </c>
      <c r="I102" s="99">
        <v>34101</v>
      </c>
      <c r="J102" s="47">
        <v>34102</v>
      </c>
      <c r="AC102" s="135" t="s">
        <v>341</v>
      </c>
      <c r="AD102" s="136"/>
      <c r="AE102" s="136"/>
      <c r="AF102" s="136"/>
      <c r="AG102" s="136"/>
      <c r="AH102" s="136"/>
      <c r="AI102" s="136"/>
      <c r="AJ102" s="136"/>
      <c r="AK102" s="136"/>
      <c r="AL102" s="136"/>
      <c r="AM102" s="136"/>
      <c r="AN102" s="136"/>
      <c r="AO102" s="136"/>
      <c r="AP102" s="136"/>
      <c r="AQ102" s="136"/>
      <c r="AR102" s="136"/>
      <c r="AS102" s="136"/>
      <c r="AT102" s="137"/>
    </row>
    <row r="103" spans="1:47">
      <c r="A103" s="45">
        <v>3</v>
      </c>
      <c r="B103" s="45">
        <v>12000</v>
      </c>
      <c r="C103" s="45">
        <v>21</v>
      </c>
      <c r="D103" s="45">
        <f t="shared" si="2"/>
        <v>12000021</v>
      </c>
      <c r="E103" s="45" t="s">
        <v>342</v>
      </c>
      <c r="F103" s="45">
        <v>1</v>
      </c>
      <c r="G103" s="45">
        <v>2</v>
      </c>
      <c r="H103" s="45">
        <v>33101</v>
      </c>
      <c r="I103" s="99">
        <v>34201</v>
      </c>
      <c r="J103" s="47">
        <v>34202</v>
      </c>
      <c r="AB103" s="45">
        <v>35101</v>
      </c>
      <c r="AC103" s="101">
        <v>0</v>
      </c>
      <c r="AD103" s="45">
        <v>0</v>
      </c>
      <c r="AE103" s="45" t="s">
        <v>63</v>
      </c>
      <c r="AF103" s="45" t="s">
        <v>343</v>
      </c>
      <c r="AG103" s="45" t="s">
        <v>166</v>
      </c>
      <c r="AH103" s="45">
        <v>0</v>
      </c>
      <c r="AI103" s="45">
        <v>0</v>
      </c>
      <c r="AJ103" s="45" t="s">
        <v>148</v>
      </c>
      <c r="AK103" s="46"/>
      <c r="AL103" s="47">
        <v>36001</v>
      </c>
      <c r="AM103" s="45">
        <v>3</v>
      </c>
      <c r="AN103" s="45">
        <v>0</v>
      </c>
      <c r="AO103" s="45" t="s">
        <v>125</v>
      </c>
      <c r="AP103" s="45" t="s">
        <v>344</v>
      </c>
      <c r="AQ103" s="45" t="s">
        <v>96</v>
      </c>
      <c r="AR103" s="45">
        <v>0</v>
      </c>
      <c r="AS103" s="45">
        <v>0</v>
      </c>
      <c r="AT103" s="98" t="s">
        <v>150</v>
      </c>
      <c r="AU103" s="45">
        <v>4</v>
      </c>
    </row>
    <row r="104" spans="1:47">
      <c r="A104" s="45">
        <v>3</v>
      </c>
      <c r="B104" s="45">
        <v>12000</v>
      </c>
      <c r="C104" s="45">
        <v>22</v>
      </c>
      <c r="D104" s="45">
        <f t="shared" si="2"/>
        <v>12000022</v>
      </c>
      <c r="E104" s="45" t="s">
        <v>345</v>
      </c>
      <c r="F104" s="45">
        <v>1</v>
      </c>
      <c r="G104" s="45">
        <v>2</v>
      </c>
      <c r="H104" s="45">
        <v>33201</v>
      </c>
      <c r="I104" s="99">
        <v>34201</v>
      </c>
      <c r="J104" s="47">
        <v>34202</v>
      </c>
      <c r="AB104" s="45">
        <v>35201</v>
      </c>
      <c r="AC104" s="101">
        <v>0</v>
      </c>
      <c r="AD104" s="45">
        <v>0</v>
      </c>
      <c r="AE104" s="45" t="s">
        <v>346</v>
      </c>
      <c r="AF104" s="45" t="s">
        <v>347</v>
      </c>
      <c r="AG104" s="45" t="s">
        <v>166</v>
      </c>
      <c r="AH104" s="45">
        <v>0</v>
      </c>
      <c r="AI104" s="45">
        <v>0</v>
      </c>
      <c r="AJ104" s="45" t="s">
        <v>148</v>
      </c>
      <c r="AK104" s="46"/>
      <c r="AL104" s="47">
        <v>36002</v>
      </c>
      <c r="AM104" s="76">
        <v>0</v>
      </c>
      <c r="AN104" s="76">
        <v>0</v>
      </c>
      <c r="AO104" s="76" t="s">
        <v>59</v>
      </c>
      <c r="AP104" s="76" t="s">
        <v>344</v>
      </c>
      <c r="AQ104" s="76" t="s">
        <v>348</v>
      </c>
      <c r="AR104" s="76">
        <v>0</v>
      </c>
      <c r="AS104" s="76">
        <v>2</v>
      </c>
      <c r="AT104" s="98" t="s">
        <v>150</v>
      </c>
      <c r="AU104" s="45">
        <v>4</v>
      </c>
    </row>
    <row r="105" spans="1:47">
      <c r="A105" s="45">
        <v>3</v>
      </c>
      <c r="B105" s="45">
        <v>12000</v>
      </c>
      <c r="C105" s="45">
        <v>23</v>
      </c>
      <c r="D105" s="45">
        <f t="shared" si="2"/>
        <v>12000023</v>
      </c>
      <c r="E105" s="45" t="s">
        <v>349</v>
      </c>
      <c r="F105" s="45">
        <v>1</v>
      </c>
      <c r="G105" s="45">
        <v>2</v>
      </c>
      <c r="H105" s="45">
        <v>33301</v>
      </c>
      <c r="I105" s="99">
        <v>34201</v>
      </c>
      <c r="J105" s="47">
        <v>34202</v>
      </c>
      <c r="AB105" s="45">
        <v>35301</v>
      </c>
      <c r="AC105" s="101">
        <v>0</v>
      </c>
      <c r="AD105" s="45">
        <v>0</v>
      </c>
      <c r="AE105" s="45" t="s">
        <v>65</v>
      </c>
      <c r="AF105" s="45" t="s">
        <v>350</v>
      </c>
      <c r="AG105" s="45" t="s">
        <v>166</v>
      </c>
      <c r="AH105" s="45">
        <v>0</v>
      </c>
      <c r="AI105" s="45">
        <v>0</v>
      </c>
      <c r="AJ105" s="45" t="s">
        <v>148</v>
      </c>
      <c r="AK105" s="46"/>
      <c r="AL105" s="47">
        <v>36101</v>
      </c>
      <c r="AM105" s="45">
        <v>3</v>
      </c>
      <c r="AN105" s="45">
        <v>0</v>
      </c>
      <c r="AO105" s="45" t="s">
        <v>125</v>
      </c>
      <c r="AP105" s="45" t="s">
        <v>351</v>
      </c>
      <c r="AQ105" s="45" t="s">
        <v>96</v>
      </c>
      <c r="AR105" s="45">
        <v>0</v>
      </c>
      <c r="AS105" s="45">
        <v>0</v>
      </c>
      <c r="AT105" s="98" t="s">
        <v>150</v>
      </c>
      <c r="AU105" s="45">
        <v>4</v>
      </c>
    </row>
    <row r="106" spans="1:47">
      <c r="A106" s="45">
        <v>3</v>
      </c>
      <c r="B106" s="45">
        <v>12000</v>
      </c>
      <c r="C106" s="45">
        <v>24</v>
      </c>
      <c r="D106" s="45">
        <f t="shared" si="2"/>
        <v>12000024</v>
      </c>
      <c r="E106" s="45" t="s">
        <v>352</v>
      </c>
      <c r="F106" s="45">
        <v>1</v>
      </c>
      <c r="G106" s="45">
        <v>2</v>
      </c>
      <c r="H106" s="45">
        <v>33401</v>
      </c>
      <c r="I106" s="99">
        <v>34201</v>
      </c>
      <c r="J106" s="47">
        <v>34202</v>
      </c>
      <c r="AB106" s="45">
        <v>35401</v>
      </c>
      <c r="AC106" s="101">
        <v>0</v>
      </c>
      <c r="AD106" s="45">
        <v>0</v>
      </c>
      <c r="AE106" s="45" t="s">
        <v>66</v>
      </c>
      <c r="AF106" s="45" t="s">
        <v>353</v>
      </c>
      <c r="AG106" s="45" t="s">
        <v>166</v>
      </c>
      <c r="AH106" s="45">
        <v>0</v>
      </c>
      <c r="AI106" s="45">
        <v>0</v>
      </c>
      <c r="AJ106" s="45" t="s">
        <v>148</v>
      </c>
      <c r="AK106" s="46"/>
      <c r="AL106" s="47">
        <v>36102</v>
      </c>
      <c r="AM106" s="45">
        <v>0</v>
      </c>
      <c r="AN106" s="45">
        <v>0</v>
      </c>
      <c r="AO106" s="45" t="s">
        <v>59</v>
      </c>
      <c r="AP106" s="45" t="s">
        <v>351</v>
      </c>
      <c r="AQ106" s="45" t="s">
        <v>354</v>
      </c>
      <c r="AR106" s="45">
        <v>0</v>
      </c>
      <c r="AS106" s="45">
        <v>2</v>
      </c>
      <c r="AT106" s="98" t="s">
        <v>150</v>
      </c>
      <c r="AU106" s="45">
        <v>4</v>
      </c>
    </row>
    <row r="107" spans="1:47">
      <c r="A107" s="45">
        <v>3</v>
      </c>
      <c r="B107" s="45">
        <v>13000</v>
      </c>
      <c r="C107" s="45">
        <v>21</v>
      </c>
      <c r="D107" s="45">
        <f t="shared" si="2"/>
        <v>13000021</v>
      </c>
      <c r="E107" s="45" t="s">
        <v>355</v>
      </c>
      <c r="F107" s="45">
        <v>1</v>
      </c>
      <c r="G107" s="45">
        <v>2</v>
      </c>
      <c r="H107" s="45">
        <v>33101</v>
      </c>
      <c r="I107" s="99">
        <v>34301</v>
      </c>
      <c r="J107" s="47">
        <v>34302</v>
      </c>
      <c r="AC107" s="101"/>
      <c r="AK107" s="46"/>
      <c r="AL107" s="47">
        <v>36201</v>
      </c>
      <c r="AM107" s="45">
        <v>3</v>
      </c>
      <c r="AN107" s="45">
        <v>0</v>
      </c>
      <c r="AO107" s="45" t="s">
        <v>125</v>
      </c>
      <c r="AP107" s="45" t="s">
        <v>356</v>
      </c>
      <c r="AQ107" s="45" t="s">
        <v>96</v>
      </c>
      <c r="AR107" s="45">
        <v>0</v>
      </c>
      <c r="AS107" s="45">
        <v>0</v>
      </c>
      <c r="AT107" s="98" t="s">
        <v>150</v>
      </c>
      <c r="AU107" s="45">
        <v>4</v>
      </c>
    </row>
    <row r="108" spans="1:47">
      <c r="A108" s="45">
        <v>3</v>
      </c>
      <c r="B108" s="45">
        <v>13000</v>
      </c>
      <c r="C108" s="45">
        <v>22</v>
      </c>
      <c r="D108" s="45">
        <f t="shared" si="2"/>
        <v>13000022</v>
      </c>
      <c r="E108" s="45" t="s">
        <v>357</v>
      </c>
      <c r="F108" s="45">
        <v>1</v>
      </c>
      <c r="G108" s="45">
        <v>2</v>
      </c>
      <c r="H108" s="45">
        <v>33201</v>
      </c>
      <c r="I108" s="99">
        <v>34301</v>
      </c>
      <c r="J108" s="47">
        <v>34302</v>
      </c>
      <c r="AC108" s="101"/>
      <c r="AK108" s="46"/>
      <c r="AL108" s="47">
        <v>36202</v>
      </c>
      <c r="AM108" s="45">
        <v>0</v>
      </c>
      <c r="AN108" s="45">
        <v>0</v>
      </c>
      <c r="AO108" s="45" t="s">
        <v>59</v>
      </c>
      <c r="AP108" s="45" t="s">
        <v>356</v>
      </c>
      <c r="AQ108" s="45" t="s">
        <v>358</v>
      </c>
      <c r="AR108" s="45">
        <v>0</v>
      </c>
      <c r="AS108" s="45">
        <v>2</v>
      </c>
      <c r="AT108" s="98" t="s">
        <v>150</v>
      </c>
      <c r="AU108" s="45">
        <v>4</v>
      </c>
    </row>
    <row r="109" spans="1:47">
      <c r="A109" s="45">
        <v>3</v>
      </c>
      <c r="B109" s="45">
        <v>13000</v>
      </c>
      <c r="C109" s="45">
        <v>23</v>
      </c>
      <c r="D109" s="45">
        <f t="shared" si="2"/>
        <v>13000023</v>
      </c>
      <c r="E109" s="45" t="s">
        <v>359</v>
      </c>
      <c r="F109" s="45">
        <v>1</v>
      </c>
      <c r="G109" s="45">
        <v>2</v>
      </c>
      <c r="H109" s="45">
        <v>33301</v>
      </c>
      <c r="I109" s="99">
        <v>34301</v>
      </c>
      <c r="J109" s="47">
        <v>34302</v>
      </c>
      <c r="AC109" s="101"/>
      <c r="AF109" s="138" t="s">
        <v>300</v>
      </c>
      <c r="AG109" s="139"/>
      <c r="AH109" s="139"/>
      <c r="AI109" s="139"/>
      <c r="AJ109" s="139"/>
      <c r="AK109" s="46"/>
      <c r="AL109" s="47">
        <v>36301</v>
      </c>
      <c r="AM109" s="76">
        <v>3</v>
      </c>
      <c r="AN109" s="76">
        <v>0</v>
      </c>
      <c r="AO109" s="76" t="s">
        <v>125</v>
      </c>
      <c r="AP109" s="76" t="s">
        <v>360</v>
      </c>
      <c r="AQ109" s="76" t="s">
        <v>96</v>
      </c>
      <c r="AR109" s="76">
        <v>0</v>
      </c>
      <c r="AS109" s="76">
        <v>0</v>
      </c>
      <c r="AT109" s="98" t="s">
        <v>150</v>
      </c>
      <c r="AU109" s="45">
        <v>4</v>
      </c>
    </row>
    <row r="110" spans="1:47">
      <c r="A110" s="45">
        <v>3</v>
      </c>
      <c r="B110" s="45">
        <v>13000</v>
      </c>
      <c r="C110" s="45">
        <v>24</v>
      </c>
      <c r="D110" s="45">
        <f t="shared" si="2"/>
        <v>13000024</v>
      </c>
      <c r="E110" s="45" t="s">
        <v>361</v>
      </c>
      <c r="F110" s="45">
        <v>1</v>
      </c>
      <c r="G110" s="45">
        <v>2</v>
      </c>
      <c r="H110" s="45">
        <v>33401</v>
      </c>
      <c r="I110" s="99">
        <v>34301</v>
      </c>
      <c r="J110" s="47">
        <v>34302</v>
      </c>
      <c r="AC110" s="101"/>
      <c r="AF110" s="139"/>
      <c r="AG110" s="139"/>
      <c r="AH110" s="139"/>
      <c r="AI110" s="139"/>
      <c r="AJ110" s="139"/>
      <c r="AK110" s="46"/>
      <c r="AL110" s="47">
        <v>36302</v>
      </c>
      <c r="AM110" s="76">
        <v>0</v>
      </c>
      <c r="AN110" s="76">
        <v>0</v>
      </c>
      <c r="AO110" s="76" t="s">
        <v>59</v>
      </c>
      <c r="AP110" s="76" t="s">
        <v>360</v>
      </c>
      <c r="AQ110" s="76" t="s">
        <v>362</v>
      </c>
      <c r="AR110" s="76">
        <v>0</v>
      </c>
      <c r="AS110" s="76">
        <v>2</v>
      </c>
      <c r="AT110" s="98" t="s">
        <v>150</v>
      </c>
      <c r="AU110" s="45">
        <v>4</v>
      </c>
    </row>
    <row r="111" spans="1:47">
      <c r="A111" s="45">
        <v>3</v>
      </c>
      <c r="B111" s="45">
        <v>14000</v>
      </c>
      <c r="C111" s="45">
        <v>21</v>
      </c>
      <c r="D111" s="45">
        <f t="shared" si="2"/>
        <v>14000021</v>
      </c>
      <c r="E111" s="45" t="s">
        <v>363</v>
      </c>
      <c r="F111" s="45">
        <v>1</v>
      </c>
      <c r="G111" s="45">
        <v>2</v>
      </c>
      <c r="H111" s="45">
        <v>33101</v>
      </c>
      <c r="I111" s="99">
        <v>34401</v>
      </c>
      <c r="J111" s="47">
        <v>34402</v>
      </c>
      <c r="AC111" s="101"/>
      <c r="AK111" s="46"/>
      <c r="AL111" s="47">
        <v>36401</v>
      </c>
      <c r="AM111" s="45">
        <v>3</v>
      </c>
      <c r="AN111" s="45">
        <v>0</v>
      </c>
      <c r="AO111" s="45" t="s">
        <v>125</v>
      </c>
      <c r="AP111" s="45" t="s">
        <v>364</v>
      </c>
      <c r="AQ111" s="45" t="s">
        <v>96</v>
      </c>
      <c r="AR111" s="45">
        <v>0</v>
      </c>
      <c r="AS111" s="45">
        <v>0</v>
      </c>
      <c r="AT111" s="98" t="s">
        <v>150</v>
      </c>
      <c r="AU111" s="45">
        <v>4</v>
      </c>
    </row>
    <row r="112" spans="1:47">
      <c r="A112" s="45">
        <v>3</v>
      </c>
      <c r="B112" s="45">
        <v>14000</v>
      </c>
      <c r="C112" s="45">
        <v>22</v>
      </c>
      <c r="D112" s="45">
        <f t="shared" si="2"/>
        <v>14000022</v>
      </c>
      <c r="E112" s="45" t="s">
        <v>365</v>
      </c>
      <c r="F112" s="45">
        <v>1</v>
      </c>
      <c r="G112" s="45">
        <v>2</v>
      </c>
      <c r="H112" s="45">
        <v>33201</v>
      </c>
      <c r="I112" s="99">
        <v>34401</v>
      </c>
      <c r="J112" s="47">
        <v>34402</v>
      </c>
      <c r="AC112" s="101"/>
      <c r="AK112" s="46"/>
      <c r="AL112" s="47">
        <v>36402</v>
      </c>
      <c r="AM112" s="45">
        <v>0</v>
      </c>
      <c r="AN112" s="45">
        <v>0</v>
      </c>
      <c r="AO112" s="45" t="s">
        <v>59</v>
      </c>
      <c r="AP112" s="45" t="s">
        <v>364</v>
      </c>
      <c r="AQ112" s="45" t="s">
        <v>366</v>
      </c>
      <c r="AR112" s="45">
        <v>0</v>
      </c>
      <c r="AS112" s="45">
        <v>2</v>
      </c>
      <c r="AT112" s="98" t="s">
        <v>150</v>
      </c>
      <c r="AU112" s="45">
        <v>4</v>
      </c>
    </row>
    <row r="113" spans="1:47">
      <c r="A113" s="45">
        <v>3</v>
      </c>
      <c r="B113" s="45">
        <v>14000</v>
      </c>
      <c r="C113" s="45">
        <v>23</v>
      </c>
      <c r="D113" s="45">
        <f t="shared" si="2"/>
        <v>14000023</v>
      </c>
      <c r="E113" s="45" t="s">
        <v>367</v>
      </c>
      <c r="F113" s="45">
        <v>1</v>
      </c>
      <c r="G113" s="45">
        <v>2</v>
      </c>
      <c r="H113" s="45">
        <v>33301</v>
      </c>
      <c r="I113" s="99">
        <v>34401</v>
      </c>
      <c r="J113" s="47">
        <v>34402</v>
      </c>
      <c r="AC113" s="101"/>
      <c r="AK113" s="46"/>
      <c r="AL113" s="47">
        <v>36501</v>
      </c>
      <c r="AM113" s="45">
        <v>3</v>
      </c>
      <c r="AN113" s="45">
        <v>0</v>
      </c>
      <c r="AO113" s="45" t="s">
        <v>125</v>
      </c>
      <c r="AP113" s="45" t="s">
        <v>368</v>
      </c>
      <c r="AQ113" s="45" t="s">
        <v>96</v>
      </c>
      <c r="AR113" s="45">
        <v>0</v>
      </c>
      <c r="AS113" s="45">
        <v>0</v>
      </c>
      <c r="AT113" s="98" t="s">
        <v>150</v>
      </c>
      <c r="AU113" s="45">
        <v>4</v>
      </c>
    </row>
    <row r="114" spans="1:47" ht="19.5" thickBot="1">
      <c r="A114" s="45">
        <v>3</v>
      </c>
      <c r="B114" s="45">
        <v>14000</v>
      </c>
      <c r="C114" s="45">
        <v>24</v>
      </c>
      <c r="D114" s="45">
        <f t="shared" si="2"/>
        <v>14000024</v>
      </c>
      <c r="E114" s="45" t="s">
        <v>369</v>
      </c>
      <c r="F114" s="45">
        <v>1</v>
      </c>
      <c r="G114" s="45">
        <v>2</v>
      </c>
      <c r="H114" s="45">
        <v>33401</v>
      </c>
      <c r="I114" s="99">
        <v>34401</v>
      </c>
      <c r="J114" s="47">
        <v>34402</v>
      </c>
      <c r="AC114" s="102"/>
      <c r="AD114" s="103"/>
      <c r="AE114" s="103"/>
      <c r="AF114" s="103"/>
      <c r="AG114" s="103"/>
      <c r="AH114" s="103"/>
      <c r="AI114" s="103"/>
      <c r="AJ114" s="103"/>
      <c r="AK114" s="104"/>
      <c r="AL114" s="105">
        <v>36502</v>
      </c>
      <c r="AM114" s="103">
        <v>0</v>
      </c>
      <c r="AN114" s="103">
        <v>0</v>
      </c>
      <c r="AO114" s="103" t="s">
        <v>59</v>
      </c>
      <c r="AP114" s="103" t="s">
        <v>368</v>
      </c>
      <c r="AQ114" s="103" t="s">
        <v>370</v>
      </c>
      <c r="AR114" s="103">
        <v>0</v>
      </c>
      <c r="AS114" s="103">
        <v>2</v>
      </c>
      <c r="AT114" s="106" t="s">
        <v>150</v>
      </c>
      <c r="AU114" s="45">
        <v>4</v>
      </c>
    </row>
    <row r="115" spans="1:47">
      <c r="A115" s="45">
        <f t="shared" si="3"/>
        <v>0</v>
      </c>
      <c r="D115" s="45">
        <f t="shared" si="2"/>
        <v>0</v>
      </c>
      <c r="AK115" s="46"/>
      <c r="AL115" s="47"/>
    </row>
    <row r="116" spans="1:47">
      <c r="A116" s="45">
        <f t="shared" si="3"/>
        <v>0</v>
      </c>
      <c r="D116" s="45">
        <f t="shared" si="2"/>
        <v>0</v>
      </c>
      <c r="AK116" s="46"/>
      <c r="AL116" s="47"/>
    </row>
    <row r="117" spans="1:47">
      <c r="A117" s="45">
        <f t="shared" si="3"/>
        <v>0</v>
      </c>
      <c r="F117" s="131" t="s">
        <v>310</v>
      </c>
      <c r="G117" s="131"/>
      <c r="H117" s="131"/>
      <c r="I117" s="131"/>
      <c r="J117" s="131"/>
      <c r="K117" s="131"/>
      <c r="L117" s="131"/>
      <c r="M117" s="131"/>
      <c r="N117" s="131"/>
      <c r="O117" s="131"/>
      <c r="P117" s="131"/>
      <c r="Q117" s="131"/>
    </row>
    <row r="118" spans="1:47">
      <c r="A118" s="45">
        <v>3</v>
      </c>
      <c r="B118" s="45">
        <v>0</v>
      </c>
      <c r="C118" s="45">
        <v>31</v>
      </c>
      <c r="D118" s="45">
        <f t="shared" ref="D118:D141" si="4">B118*1000+C118</f>
        <v>31</v>
      </c>
      <c r="E118" s="45" t="s">
        <v>371</v>
      </c>
      <c r="F118" s="45">
        <v>1</v>
      </c>
      <c r="G118" s="45">
        <v>2</v>
      </c>
      <c r="H118" s="45">
        <v>35101</v>
      </c>
      <c r="I118" s="55">
        <v>36501</v>
      </c>
      <c r="J118" s="45">
        <v>36502</v>
      </c>
    </row>
    <row r="119" spans="1:47">
      <c r="A119" s="45">
        <v>3</v>
      </c>
      <c r="B119" s="45">
        <v>0</v>
      </c>
      <c r="C119" s="45">
        <v>32</v>
      </c>
      <c r="D119" s="45">
        <f t="shared" si="4"/>
        <v>32</v>
      </c>
      <c r="E119" s="45" t="s">
        <v>372</v>
      </c>
      <c r="F119" s="45">
        <v>1</v>
      </c>
      <c r="G119" s="45">
        <v>2</v>
      </c>
      <c r="H119" s="45">
        <v>35201</v>
      </c>
      <c r="I119" s="55">
        <v>36501</v>
      </c>
      <c r="J119" s="45">
        <v>36502</v>
      </c>
    </row>
    <row r="120" spans="1:47">
      <c r="A120" s="45">
        <v>3</v>
      </c>
      <c r="B120" s="45">
        <v>0</v>
      </c>
      <c r="C120" s="45">
        <v>33</v>
      </c>
      <c r="D120" s="45">
        <f t="shared" si="4"/>
        <v>33</v>
      </c>
      <c r="E120" s="45" t="s">
        <v>373</v>
      </c>
      <c r="F120" s="45">
        <v>1</v>
      </c>
      <c r="G120" s="45">
        <v>2</v>
      </c>
      <c r="H120" s="45">
        <v>35301</v>
      </c>
      <c r="I120" s="55">
        <v>36501</v>
      </c>
      <c r="J120" s="45">
        <v>36502</v>
      </c>
    </row>
    <row r="121" spans="1:47">
      <c r="A121" s="45">
        <v>3</v>
      </c>
      <c r="B121" s="45">
        <v>0</v>
      </c>
      <c r="C121" s="45">
        <v>34</v>
      </c>
      <c r="D121" s="45">
        <f t="shared" si="4"/>
        <v>34</v>
      </c>
      <c r="E121" s="45" t="s">
        <v>374</v>
      </c>
      <c r="F121" s="45">
        <v>1</v>
      </c>
      <c r="G121" s="45">
        <v>2</v>
      </c>
      <c r="H121" s="45">
        <v>35401</v>
      </c>
      <c r="I121" s="55">
        <v>36501</v>
      </c>
      <c r="J121" s="45">
        <v>36502</v>
      </c>
    </row>
    <row r="122" spans="1:47">
      <c r="A122" s="45">
        <v>3</v>
      </c>
      <c r="B122" s="45">
        <v>100</v>
      </c>
      <c r="C122" s="45">
        <v>31</v>
      </c>
      <c r="D122" s="45">
        <f t="shared" si="4"/>
        <v>100031</v>
      </c>
      <c r="E122" s="45" t="s">
        <v>375</v>
      </c>
      <c r="F122" s="45">
        <v>1</v>
      </c>
      <c r="G122" s="45">
        <v>2</v>
      </c>
      <c r="H122" s="45">
        <v>35101</v>
      </c>
      <c r="I122" s="55">
        <v>36001</v>
      </c>
      <c r="J122" s="45">
        <v>36002</v>
      </c>
    </row>
    <row r="123" spans="1:47">
      <c r="A123" s="45">
        <v>3</v>
      </c>
      <c r="B123" s="45">
        <v>100</v>
      </c>
      <c r="C123" s="45">
        <v>32</v>
      </c>
      <c r="D123" s="45">
        <f t="shared" si="4"/>
        <v>100032</v>
      </c>
      <c r="E123" s="45" t="s">
        <v>376</v>
      </c>
      <c r="F123" s="45">
        <v>1</v>
      </c>
      <c r="G123" s="45">
        <v>2</v>
      </c>
      <c r="H123" s="45">
        <v>35201</v>
      </c>
      <c r="I123" s="55">
        <v>36001</v>
      </c>
      <c r="J123" s="45">
        <v>36002</v>
      </c>
    </row>
    <row r="124" spans="1:47">
      <c r="A124" s="45">
        <v>3</v>
      </c>
      <c r="B124" s="45">
        <v>100</v>
      </c>
      <c r="C124" s="45">
        <v>33</v>
      </c>
      <c r="D124" s="45">
        <f t="shared" si="4"/>
        <v>100033</v>
      </c>
      <c r="E124" s="45" t="s">
        <v>377</v>
      </c>
      <c r="F124" s="45">
        <v>1</v>
      </c>
      <c r="G124" s="45">
        <v>2</v>
      </c>
      <c r="H124" s="45">
        <v>35301</v>
      </c>
      <c r="I124" s="55">
        <v>36001</v>
      </c>
      <c r="J124" s="45">
        <v>36002</v>
      </c>
    </row>
    <row r="125" spans="1:47">
      <c r="A125" s="45">
        <v>3</v>
      </c>
      <c r="B125" s="45">
        <v>100</v>
      </c>
      <c r="C125" s="45">
        <v>34</v>
      </c>
      <c r="D125" s="45">
        <f t="shared" si="4"/>
        <v>100034</v>
      </c>
      <c r="E125" s="45" t="s">
        <v>378</v>
      </c>
      <c r="F125" s="45">
        <v>1</v>
      </c>
      <c r="G125" s="45">
        <v>2</v>
      </c>
      <c r="H125" s="45">
        <v>35401</v>
      </c>
      <c r="I125" s="55">
        <v>36001</v>
      </c>
      <c r="J125" s="45">
        <v>36002</v>
      </c>
    </row>
    <row r="126" spans="1:47">
      <c r="A126" s="45">
        <v>3</v>
      </c>
      <c r="B126" s="45">
        <v>11000</v>
      </c>
      <c r="C126" s="45">
        <v>31</v>
      </c>
      <c r="D126" s="45">
        <f t="shared" si="4"/>
        <v>11000031</v>
      </c>
      <c r="E126" s="45" t="s">
        <v>379</v>
      </c>
      <c r="F126" s="45">
        <v>1</v>
      </c>
      <c r="G126" s="45">
        <v>2</v>
      </c>
      <c r="H126" s="45">
        <v>35101</v>
      </c>
      <c r="I126" s="55">
        <v>36101</v>
      </c>
      <c r="J126" s="45">
        <v>36102</v>
      </c>
    </row>
    <row r="127" spans="1:47">
      <c r="A127" s="45">
        <v>3</v>
      </c>
      <c r="B127" s="45">
        <v>11000</v>
      </c>
      <c r="C127" s="45">
        <v>32</v>
      </c>
      <c r="D127" s="45">
        <f t="shared" si="4"/>
        <v>11000032</v>
      </c>
      <c r="E127" s="45" t="s">
        <v>380</v>
      </c>
      <c r="F127" s="45">
        <v>1</v>
      </c>
      <c r="G127" s="45">
        <v>2</v>
      </c>
      <c r="H127" s="45">
        <v>35201</v>
      </c>
      <c r="I127" s="55">
        <v>36101</v>
      </c>
      <c r="J127" s="45">
        <v>36102</v>
      </c>
    </row>
    <row r="128" spans="1:47">
      <c r="A128" s="45">
        <v>3</v>
      </c>
      <c r="B128" s="45">
        <v>11000</v>
      </c>
      <c r="C128" s="45">
        <v>33</v>
      </c>
      <c r="D128" s="45">
        <f t="shared" si="4"/>
        <v>11000033</v>
      </c>
      <c r="E128" s="45" t="s">
        <v>381</v>
      </c>
      <c r="F128" s="45">
        <v>1</v>
      </c>
      <c r="G128" s="45">
        <v>2</v>
      </c>
      <c r="H128" s="45">
        <v>35301</v>
      </c>
      <c r="I128" s="55">
        <v>36101</v>
      </c>
      <c r="J128" s="45">
        <v>36102</v>
      </c>
    </row>
    <row r="129" spans="1:10">
      <c r="A129" s="45">
        <v>3</v>
      </c>
      <c r="B129" s="45">
        <v>11000</v>
      </c>
      <c r="C129" s="45">
        <v>34</v>
      </c>
      <c r="D129" s="45">
        <f t="shared" si="4"/>
        <v>11000034</v>
      </c>
      <c r="E129" s="45" t="s">
        <v>382</v>
      </c>
      <c r="F129" s="45">
        <v>1</v>
      </c>
      <c r="G129" s="45">
        <v>2</v>
      </c>
      <c r="H129" s="45">
        <v>35401</v>
      </c>
      <c r="I129" s="55">
        <v>36101</v>
      </c>
      <c r="J129" s="45">
        <v>36102</v>
      </c>
    </row>
    <row r="130" spans="1:10">
      <c r="A130" s="45">
        <v>3</v>
      </c>
      <c r="B130" s="45">
        <v>12000</v>
      </c>
      <c r="C130" s="45">
        <v>31</v>
      </c>
      <c r="D130" s="45">
        <f t="shared" si="4"/>
        <v>12000031</v>
      </c>
      <c r="E130" s="45" t="s">
        <v>383</v>
      </c>
      <c r="F130" s="45">
        <v>1</v>
      </c>
      <c r="G130" s="45">
        <v>2</v>
      </c>
      <c r="H130" s="45">
        <v>35101</v>
      </c>
      <c r="I130" s="55">
        <v>36201</v>
      </c>
      <c r="J130" s="45">
        <v>36202</v>
      </c>
    </row>
    <row r="131" spans="1:10">
      <c r="A131" s="45">
        <v>3</v>
      </c>
      <c r="B131" s="45">
        <v>12000</v>
      </c>
      <c r="C131" s="45">
        <v>32</v>
      </c>
      <c r="D131" s="45">
        <f t="shared" si="4"/>
        <v>12000032</v>
      </c>
      <c r="E131" s="45" t="s">
        <v>384</v>
      </c>
      <c r="F131" s="45">
        <v>1</v>
      </c>
      <c r="G131" s="45">
        <v>2</v>
      </c>
      <c r="H131" s="45">
        <v>35201</v>
      </c>
      <c r="I131" s="55">
        <v>36201</v>
      </c>
      <c r="J131" s="45">
        <v>36202</v>
      </c>
    </row>
    <row r="132" spans="1:10">
      <c r="A132" s="45">
        <v>3</v>
      </c>
      <c r="B132" s="45">
        <v>12000</v>
      </c>
      <c r="C132" s="45">
        <v>33</v>
      </c>
      <c r="D132" s="45">
        <f t="shared" si="4"/>
        <v>12000033</v>
      </c>
      <c r="E132" s="45" t="s">
        <v>385</v>
      </c>
      <c r="F132" s="45">
        <v>1</v>
      </c>
      <c r="G132" s="45">
        <v>2</v>
      </c>
      <c r="H132" s="45">
        <v>35301</v>
      </c>
      <c r="I132" s="55">
        <v>36201</v>
      </c>
      <c r="J132" s="45">
        <v>36202</v>
      </c>
    </row>
    <row r="133" spans="1:10">
      <c r="A133" s="45">
        <v>3</v>
      </c>
      <c r="B133" s="45">
        <v>12000</v>
      </c>
      <c r="C133" s="45">
        <v>34</v>
      </c>
      <c r="D133" s="45">
        <f t="shared" si="4"/>
        <v>12000034</v>
      </c>
      <c r="E133" s="45" t="s">
        <v>386</v>
      </c>
      <c r="F133" s="45">
        <v>1</v>
      </c>
      <c r="G133" s="45">
        <v>2</v>
      </c>
      <c r="H133" s="45">
        <v>35401</v>
      </c>
      <c r="I133" s="55">
        <v>36201</v>
      </c>
      <c r="J133" s="45">
        <v>36202</v>
      </c>
    </row>
    <row r="134" spans="1:10">
      <c r="A134" s="45">
        <v>3</v>
      </c>
      <c r="B134" s="45">
        <v>13000</v>
      </c>
      <c r="C134" s="45">
        <v>31</v>
      </c>
      <c r="D134" s="45">
        <f t="shared" si="4"/>
        <v>13000031</v>
      </c>
      <c r="E134" s="45" t="s">
        <v>387</v>
      </c>
      <c r="F134" s="45">
        <v>1</v>
      </c>
      <c r="G134" s="45">
        <v>2</v>
      </c>
      <c r="H134" s="45">
        <v>35101</v>
      </c>
      <c r="I134" s="55">
        <v>36301</v>
      </c>
      <c r="J134" s="45">
        <v>36302</v>
      </c>
    </row>
    <row r="135" spans="1:10">
      <c r="A135" s="45">
        <v>3</v>
      </c>
      <c r="B135" s="45">
        <v>13000</v>
      </c>
      <c r="C135" s="45">
        <v>32</v>
      </c>
      <c r="D135" s="45">
        <f t="shared" si="4"/>
        <v>13000032</v>
      </c>
      <c r="E135" s="45" t="s">
        <v>388</v>
      </c>
      <c r="F135" s="45">
        <v>1</v>
      </c>
      <c r="G135" s="45">
        <v>2</v>
      </c>
      <c r="H135" s="45">
        <v>35201</v>
      </c>
      <c r="I135" s="55">
        <v>36301</v>
      </c>
      <c r="J135" s="45">
        <v>36302</v>
      </c>
    </row>
    <row r="136" spans="1:10">
      <c r="A136" s="45">
        <v>3</v>
      </c>
      <c r="B136" s="45">
        <v>13000</v>
      </c>
      <c r="C136" s="45">
        <v>33</v>
      </c>
      <c r="D136" s="45">
        <f t="shared" si="4"/>
        <v>13000033</v>
      </c>
      <c r="E136" s="45" t="s">
        <v>389</v>
      </c>
      <c r="F136" s="45">
        <v>1</v>
      </c>
      <c r="G136" s="45">
        <v>2</v>
      </c>
      <c r="H136" s="45">
        <v>35301</v>
      </c>
      <c r="I136" s="55">
        <v>36301</v>
      </c>
      <c r="J136" s="45">
        <v>36302</v>
      </c>
    </row>
    <row r="137" spans="1:10">
      <c r="A137" s="45">
        <v>3</v>
      </c>
      <c r="B137" s="45">
        <v>13000</v>
      </c>
      <c r="C137" s="45">
        <v>34</v>
      </c>
      <c r="D137" s="45">
        <f t="shared" si="4"/>
        <v>13000034</v>
      </c>
      <c r="E137" s="45" t="s">
        <v>390</v>
      </c>
      <c r="F137" s="45">
        <v>1</v>
      </c>
      <c r="G137" s="45">
        <v>2</v>
      </c>
      <c r="H137" s="45">
        <v>35401</v>
      </c>
      <c r="I137" s="55">
        <v>36301</v>
      </c>
      <c r="J137" s="45">
        <v>36302</v>
      </c>
    </row>
    <row r="138" spans="1:10">
      <c r="A138" s="45">
        <v>3</v>
      </c>
      <c r="B138" s="45">
        <v>14000</v>
      </c>
      <c r="C138" s="45">
        <v>31</v>
      </c>
      <c r="D138" s="45">
        <f t="shared" si="4"/>
        <v>14000031</v>
      </c>
      <c r="E138" s="45" t="s">
        <v>391</v>
      </c>
      <c r="F138" s="45">
        <v>1</v>
      </c>
      <c r="G138" s="45">
        <v>2</v>
      </c>
      <c r="H138" s="45">
        <v>35101</v>
      </c>
      <c r="I138" s="55">
        <v>36401</v>
      </c>
      <c r="J138" s="45">
        <v>36402</v>
      </c>
    </row>
    <row r="139" spans="1:10">
      <c r="A139" s="45">
        <v>3</v>
      </c>
      <c r="B139" s="45">
        <v>14000</v>
      </c>
      <c r="C139" s="45">
        <v>32</v>
      </c>
      <c r="D139" s="45">
        <f t="shared" si="4"/>
        <v>14000032</v>
      </c>
      <c r="E139" s="45" t="s">
        <v>392</v>
      </c>
      <c r="F139" s="45">
        <v>1</v>
      </c>
      <c r="G139" s="45">
        <v>2</v>
      </c>
      <c r="H139" s="45">
        <v>35201</v>
      </c>
      <c r="I139" s="55">
        <v>36401</v>
      </c>
      <c r="J139" s="45">
        <v>36402</v>
      </c>
    </row>
    <row r="140" spans="1:10">
      <c r="A140" s="45">
        <v>3</v>
      </c>
      <c r="B140" s="45">
        <v>14000</v>
      </c>
      <c r="C140" s="45">
        <v>33</v>
      </c>
      <c r="D140" s="45">
        <f t="shared" si="4"/>
        <v>14000033</v>
      </c>
      <c r="E140" s="45" t="s">
        <v>393</v>
      </c>
      <c r="F140" s="45">
        <v>1</v>
      </c>
      <c r="G140" s="45">
        <v>2</v>
      </c>
      <c r="H140" s="45">
        <v>35301</v>
      </c>
      <c r="I140" s="55">
        <v>36401</v>
      </c>
      <c r="J140" s="45">
        <v>36402</v>
      </c>
    </row>
    <row r="141" spans="1:10">
      <c r="A141" s="45">
        <v>3</v>
      </c>
      <c r="B141" s="45">
        <v>14000</v>
      </c>
      <c r="C141" s="45">
        <v>34</v>
      </c>
      <c r="D141" s="45">
        <f t="shared" si="4"/>
        <v>14000034</v>
      </c>
      <c r="E141" s="45" t="s">
        <v>394</v>
      </c>
      <c r="F141" s="45">
        <v>1</v>
      </c>
      <c r="G141" s="45">
        <v>2</v>
      </c>
      <c r="H141" s="45">
        <v>35401</v>
      </c>
      <c r="I141" s="55">
        <v>36401</v>
      </c>
      <c r="J141" s="45">
        <v>36402</v>
      </c>
    </row>
  </sheetData>
  <mergeCells count="18">
    <mergeCell ref="F117:Q117"/>
    <mergeCell ref="I62:P62"/>
    <mergeCell ref="I69:Z69"/>
    <mergeCell ref="F74:AA74"/>
    <mergeCell ref="AC74:AT74"/>
    <mergeCell ref="F75:Q75"/>
    <mergeCell ref="AF79:AJ80"/>
    <mergeCell ref="AC84:AT84"/>
    <mergeCell ref="F90:Q90"/>
    <mergeCell ref="AF98:AJ99"/>
    <mergeCell ref="AC102:AT102"/>
    <mergeCell ref="AF109:AJ110"/>
    <mergeCell ref="I55:P55"/>
    <mergeCell ref="I2:Z2"/>
    <mergeCell ref="I10:Z10"/>
    <mergeCell ref="I34:Z34"/>
    <mergeCell ref="I50:Z50"/>
    <mergeCell ref="I51:P51"/>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How to use</vt:lpstr>
      <vt:lpstr>FixTable</vt:lpstr>
      <vt:lpstr>AgentSector</vt:lpstr>
      <vt:lpstr>FirstARtable</vt:lpstr>
      <vt:lpstr>IDARtable</vt:lpstr>
      <vt:lpstr>Journaltable</vt:lpstr>
      <vt:lpstr>SentenceID_OV</vt:lpstr>
      <vt:lpstr>SubjectTable</vt:lpstr>
      <vt:lpstr>SubjectTType</vt:lpstr>
      <vt:lpstr>SubjectTAg</vt:lpstr>
      <vt:lpstr>CSV_Create</vt:lpstr>
      <vt:lpstr>参考シート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Kosei Takashima</dc:creator>
  <cp:lastModifiedBy>Kosei Takashima</cp:lastModifiedBy>
  <dcterms:created xsi:type="dcterms:W3CDTF">2015-06-05T18:19:34Z</dcterms:created>
  <dcterms:modified xsi:type="dcterms:W3CDTF">2023-02-13T02:17:25Z</dcterms:modified>
</cp:coreProperties>
</file>